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F832C25E-598B-47EE-9F71-7D3E144DC0CA}" xr6:coauthVersionLast="47" xr6:coauthVersionMax="47" xr10:uidLastSave="{00000000-0000-0000-0000-000000000000}"/>
  <bookViews>
    <workbookView xWindow="-110" yWindow="-110" windowWidth="19420" windowHeight="10300" activeTab="1" xr2:uid="{65BA805C-FC70-4984-8CD2-CAFF5A91A2A5}"/>
  </bookViews>
  <sheets>
    <sheet name="選擇角色顏色" sheetId="5" r:id="rId1"/>
    <sheet name="介面" sheetId="1" r:id="rId2"/>
    <sheet name="機會&amp;命運" sheetId="2" r:id="rId3"/>
    <sheet name="遊戲狀態log" sheetId="4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" i="4" l="1"/>
  <c r="N46" i="4"/>
  <c r="M46" i="4"/>
  <c r="L46" i="4"/>
  <c r="K46" i="4"/>
  <c r="J46" i="4"/>
  <c r="N45" i="4"/>
  <c r="M45" i="4"/>
  <c r="L45" i="4"/>
  <c r="K45" i="4"/>
  <c r="J45" i="4"/>
  <c r="N43" i="4"/>
  <c r="M43" i="4"/>
  <c r="L43" i="4"/>
  <c r="K43" i="4"/>
  <c r="J43" i="4"/>
  <c r="N42" i="4"/>
  <c r="M42" i="4"/>
  <c r="L42" i="4"/>
  <c r="K42" i="4"/>
  <c r="J42" i="4"/>
  <c r="N41" i="4"/>
  <c r="M41" i="4"/>
  <c r="L41" i="4"/>
  <c r="K41" i="4"/>
  <c r="J41" i="4"/>
  <c r="N39" i="4"/>
  <c r="M39" i="4"/>
  <c r="L39" i="4"/>
  <c r="K39" i="4"/>
  <c r="J39" i="4"/>
  <c r="N38" i="4"/>
  <c r="M38" i="4"/>
  <c r="L38" i="4"/>
  <c r="K38" i="4"/>
  <c r="J38" i="4"/>
  <c r="N37" i="4"/>
  <c r="M37" i="4"/>
  <c r="L37" i="4"/>
  <c r="K37" i="4"/>
  <c r="J37" i="4"/>
  <c r="N35" i="4"/>
  <c r="M35" i="4"/>
  <c r="L35" i="4"/>
  <c r="K35" i="4"/>
  <c r="J35" i="4"/>
  <c r="N34" i="4"/>
  <c r="M34" i="4"/>
  <c r="L34" i="4"/>
  <c r="K34" i="4"/>
  <c r="J34" i="4"/>
  <c r="N33" i="4"/>
  <c r="M33" i="4"/>
  <c r="L33" i="4"/>
  <c r="K33" i="4"/>
  <c r="J33" i="4"/>
  <c r="N31" i="4"/>
  <c r="M31" i="4"/>
  <c r="L31" i="4"/>
  <c r="K31" i="4"/>
  <c r="J31" i="4"/>
  <c r="N30" i="4"/>
  <c r="M30" i="4"/>
  <c r="L30" i="4"/>
  <c r="K30" i="4"/>
  <c r="J30" i="4"/>
  <c r="N29" i="4"/>
  <c r="M29" i="4"/>
  <c r="L29" i="4"/>
  <c r="K29" i="4"/>
  <c r="J29" i="4"/>
  <c r="N27" i="4"/>
  <c r="M27" i="4"/>
  <c r="L27" i="4"/>
  <c r="K27" i="4"/>
  <c r="J27" i="4"/>
  <c r="N26" i="4"/>
  <c r="M26" i="4"/>
  <c r="L26" i="4"/>
  <c r="K26" i="4"/>
  <c r="J26" i="4"/>
  <c r="N25" i="4"/>
  <c r="M25" i="4"/>
  <c r="L25" i="4"/>
  <c r="K25" i="4"/>
  <c r="J25" i="4"/>
  <c r="N24" i="4"/>
  <c r="M24" i="4"/>
  <c r="L24" i="4"/>
  <c r="K24" i="4"/>
  <c r="J24" i="4"/>
  <c r="N23" i="4"/>
  <c r="M23" i="4"/>
  <c r="L23" i="4"/>
  <c r="K23" i="4"/>
  <c r="J23" i="4"/>
  <c r="N21" i="4"/>
  <c r="M21" i="4"/>
  <c r="L21" i="4"/>
  <c r="K21" i="4"/>
  <c r="J21" i="4"/>
  <c r="N20" i="4"/>
  <c r="M20" i="4"/>
  <c r="L20" i="4"/>
  <c r="K20" i="4"/>
  <c r="J20" i="4"/>
  <c r="N19" i="4"/>
  <c r="M19" i="4"/>
  <c r="L19" i="4"/>
  <c r="K19" i="4"/>
  <c r="J19" i="4"/>
  <c r="N17" i="4"/>
  <c r="M17" i="4"/>
  <c r="L17" i="4"/>
  <c r="K17" i="4"/>
  <c r="J17" i="4"/>
  <c r="N16" i="4"/>
  <c r="M16" i="4"/>
  <c r="L16" i="4"/>
  <c r="K16" i="4"/>
  <c r="J16" i="4"/>
  <c r="N15" i="4"/>
  <c r="M15" i="4"/>
  <c r="L15" i="4"/>
  <c r="K15" i="4"/>
  <c r="J15" i="4"/>
  <c r="N13" i="4"/>
  <c r="M13" i="4"/>
  <c r="L13" i="4"/>
  <c r="K13" i="4"/>
  <c r="J13" i="4"/>
  <c r="N12" i="4"/>
  <c r="M12" i="4"/>
  <c r="L12" i="4"/>
  <c r="K12" i="4"/>
  <c r="J12" i="4"/>
  <c r="N10" i="4"/>
  <c r="M10" i="4"/>
  <c r="L10" i="4"/>
  <c r="K10" i="4"/>
  <c r="J10" i="4"/>
  <c r="N9" i="4"/>
  <c r="M9" i="4"/>
  <c r="L9" i="4"/>
  <c r="K9" i="4"/>
  <c r="J9" i="4"/>
  <c r="N8" i="4"/>
  <c r="M8" i="4"/>
  <c r="L8" i="4"/>
  <c r="K8" i="4"/>
  <c r="J8" i="4"/>
  <c r="N6" i="4"/>
  <c r="M6" i="4"/>
  <c r="L6" i="4"/>
  <c r="K6" i="4"/>
  <c r="J6" i="4"/>
  <c r="N5" i="4"/>
  <c r="M5" i="4"/>
  <c r="L5" i="4"/>
  <c r="K5" i="4"/>
  <c r="J5" i="4"/>
  <c r="N4" i="4"/>
  <c r="M4" i="4"/>
  <c r="L4" i="4"/>
  <c r="K4" i="4"/>
  <c r="J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A7DAF3D9-3C24-415C-82BB-AE6EE2E39927}">
      <text>
        <r>
          <rPr>
            <b/>
            <sz val="9"/>
            <color rgb="FF000000"/>
            <rFont val="Tahoma"/>
            <family val="2"/>
          </rPr>
          <t>user:</t>
        </r>
        <r>
          <rPr>
            <sz val="9"/>
            <color rgb="FF000000"/>
            <rFont val="Tahoma"/>
            <family val="2"/>
          </rPr>
          <t xml:space="preserve">
-1 deleted
0 lose
1 survive
2 pause
</t>
        </r>
      </text>
    </comment>
    <comment ref="O2" authorId="0" shapeId="0" xr:uid="{456CA05F-1952-4938-8506-F4C9FF0815DA}">
      <text>
        <r>
          <rPr>
            <b/>
            <sz val="9"/>
            <color rgb="FF000000"/>
            <rFont val="Tahoma"/>
            <family val="2"/>
          </rPr>
          <t>user: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-1 </t>
        </r>
        <r>
          <rPr>
            <sz val="9"/>
            <color rgb="FF000000"/>
            <rFont val="細明體"/>
            <family val="1"/>
            <charset val="136"/>
          </rPr>
          <t>要買嗎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0 </t>
        </r>
        <r>
          <rPr>
            <sz val="9"/>
            <color rgb="FF000000"/>
            <rFont val="細明體"/>
            <family val="1"/>
            <charset val="136"/>
          </rPr>
          <t>土地</t>
        </r>
        <r>
          <rPr>
            <sz val="9"/>
            <color rgb="FF000000"/>
            <rFont val="細明體"/>
            <family val="1"/>
            <charset val="136"/>
          </rPr>
          <t xml:space="preserve">
</t>
        </r>
        <r>
          <rPr>
            <sz val="9"/>
            <color rgb="FF000000"/>
            <rFont val="Tahoma"/>
            <family val="2"/>
          </rPr>
          <t>1 1</t>
        </r>
        <r>
          <rPr>
            <sz val="9"/>
            <color rgb="FF000000"/>
            <rFont val="細明體"/>
            <family val="1"/>
            <charset val="136"/>
          </rPr>
          <t>棟房子</t>
        </r>
        <r>
          <rPr>
            <sz val="9"/>
            <color rgb="FF000000"/>
            <rFont val="細明體"/>
            <family val="1"/>
            <charset val="136"/>
          </rPr>
          <t xml:space="preserve">
</t>
        </r>
        <r>
          <rPr>
            <sz val="9"/>
            <color rgb="FF000000"/>
            <rFont val="Tahoma"/>
            <family val="2"/>
          </rPr>
          <t>2 2</t>
        </r>
        <r>
          <rPr>
            <sz val="9"/>
            <color rgb="FF000000"/>
            <rFont val="細明體"/>
            <family val="1"/>
            <charset val="136"/>
          </rPr>
          <t>棟房子</t>
        </r>
        <r>
          <rPr>
            <sz val="9"/>
            <color rgb="FF000000"/>
            <rFont val="細明體"/>
            <family val="1"/>
            <charset val="136"/>
          </rPr>
          <t xml:space="preserve">
</t>
        </r>
        <r>
          <rPr>
            <sz val="9"/>
            <color rgb="FF000000"/>
            <rFont val="Tahoma"/>
            <family val="2"/>
          </rPr>
          <t>3 3</t>
        </r>
        <r>
          <rPr>
            <sz val="9"/>
            <color rgb="FF000000"/>
            <rFont val="細明體"/>
            <family val="1"/>
            <charset val="136"/>
          </rPr>
          <t>棟房子</t>
        </r>
        <r>
          <rPr>
            <sz val="9"/>
            <color rgb="FF000000"/>
            <rFont val="細明體"/>
            <family val="1"/>
            <charset val="136"/>
          </rPr>
          <t xml:space="preserve">
</t>
        </r>
        <r>
          <rPr>
            <sz val="9"/>
            <color rgb="FF000000"/>
            <rFont val="Tahoma"/>
            <family val="2"/>
          </rPr>
          <t>4 4</t>
        </r>
        <r>
          <rPr>
            <sz val="9"/>
            <color rgb="FF000000"/>
            <rFont val="細明體"/>
            <family val="1"/>
            <charset val="136"/>
          </rPr>
          <t>棟房子</t>
        </r>
      </text>
    </comment>
  </commentList>
</comments>
</file>

<file path=xl/sharedStrings.xml><?xml version="1.0" encoding="utf-8"?>
<sst xmlns="http://schemas.openxmlformats.org/spreadsheetml/2006/main" count="317" uniqueCount="183">
  <si>
    <t>Player 1</t>
    <phoneticPr fontId="1" type="noConversion"/>
  </si>
  <si>
    <t>Player 2</t>
  </si>
  <si>
    <t>Player 3</t>
  </si>
  <si>
    <t>Player 4</t>
  </si>
  <si>
    <t>LOTTERY</t>
    <phoneticPr fontId="1" type="noConversion"/>
  </si>
  <si>
    <t>哥本哈根</t>
    <phoneticPr fontId="1" type="noConversion"/>
  </si>
  <si>
    <t>東京</t>
    <phoneticPr fontId="1" type="noConversion"/>
  </si>
  <si>
    <t>機會</t>
    <phoneticPr fontId="1" type="noConversion"/>
  </si>
  <si>
    <t>開羅</t>
    <phoneticPr fontId="1" type="noConversion"/>
  </si>
  <si>
    <t>赫爾辛基</t>
    <phoneticPr fontId="1" type="noConversion"/>
  </si>
  <si>
    <t>耶路撒冷</t>
    <phoneticPr fontId="1" type="noConversion"/>
  </si>
  <si>
    <t>命運</t>
    <phoneticPr fontId="1" type="noConversion"/>
  </si>
  <si>
    <t>吉隆坡</t>
    <phoneticPr fontId="1" type="noConversion"/>
  </si>
  <si>
    <t>奧斯陸</t>
    <phoneticPr fontId="1" type="noConversion"/>
  </si>
  <si>
    <t>羅馬</t>
    <phoneticPr fontId="1" type="noConversion"/>
  </si>
  <si>
    <t>JAIL</t>
    <phoneticPr fontId="1" type="noConversion"/>
  </si>
  <si>
    <t>波哥大</t>
    <phoneticPr fontId="1" type="noConversion"/>
  </si>
  <si>
    <t>莫斯科</t>
    <phoneticPr fontId="1" type="noConversion"/>
  </si>
  <si>
    <t>Player</t>
    <phoneticPr fontId="1" type="noConversion"/>
  </si>
  <si>
    <t>Icon</t>
    <phoneticPr fontId="1" type="noConversion"/>
  </si>
  <si>
    <t>Money</t>
    <phoneticPr fontId="1" type="noConversion"/>
  </si>
  <si>
    <t>Position</t>
    <phoneticPr fontId="1" type="noConversion"/>
  </si>
  <si>
    <t>紐約</t>
    <phoneticPr fontId="1" type="noConversion"/>
  </si>
  <si>
    <t>奈洛比</t>
    <phoneticPr fontId="1" type="noConversion"/>
  </si>
  <si>
    <t>哈瓦那</t>
    <phoneticPr fontId="1" type="noConversion"/>
  </si>
  <si>
    <t>pink</t>
  </si>
  <si>
    <t>雅加達</t>
    <phoneticPr fontId="1" type="noConversion"/>
  </si>
  <si>
    <t>曼谷</t>
    <phoneticPr fontId="1" type="noConversion"/>
  </si>
  <si>
    <t>MONOPOLY</t>
    <phoneticPr fontId="1" type="noConversion"/>
  </si>
  <si>
    <t>開普敦</t>
    <phoneticPr fontId="1" type="noConversion"/>
  </si>
  <si>
    <t>orange</t>
  </si>
  <si>
    <t>平壤</t>
    <phoneticPr fontId="1" type="noConversion"/>
  </si>
  <si>
    <t>北京</t>
    <phoneticPr fontId="1" type="noConversion"/>
  </si>
  <si>
    <t>馬尼拉</t>
  </si>
  <si>
    <t>柏林</t>
    <phoneticPr fontId="1" type="noConversion"/>
  </si>
  <si>
    <t>yellow</t>
  </si>
  <si>
    <t>華盛頓</t>
    <phoneticPr fontId="1" type="noConversion"/>
  </si>
  <si>
    <t>雅典</t>
    <phoneticPr fontId="1" type="noConversion"/>
  </si>
  <si>
    <t>維也納</t>
    <phoneticPr fontId="1" type="noConversion"/>
  </si>
  <si>
    <t>blue</t>
  </si>
  <si>
    <t>布魯塞爾</t>
    <phoneticPr fontId="1" type="noConversion"/>
  </si>
  <si>
    <t>馬德里</t>
    <phoneticPr fontId="1" type="noConversion"/>
  </si>
  <si>
    <t>GO</t>
    <phoneticPr fontId="1" type="noConversion"/>
  </si>
  <si>
    <t>都柏林</t>
    <phoneticPr fontId="1" type="noConversion"/>
  </si>
  <si>
    <t>巴黎</t>
    <phoneticPr fontId="1" type="noConversion"/>
  </si>
  <si>
    <t>倫敦</t>
    <phoneticPr fontId="1" type="noConversion"/>
  </si>
  <si>
    <t>里斯本</t>
    <phoneticPr fontId="1" type="noConversion"/>
  </si>
  <si>
    <t>馬尼拉</t>
    <phoneticPr fontId="1" type="noConversion"/>
  </si>
  <si>
    <t>首爾</t>
    <phoneticPr fontId="1" type="noConversion"/>
  </si>
  <si>
    <t>河內</t>
    <phoneticPr fontId="1" type="noConversion"/>
  </si>
  <si>
    <t>台北</t>
    <phoneticPr fontId="1" type="noConversion"/>
  </si>
  <si>
    <t>在哥本哈根弄壞高級瓷器，罰款2000</t>
    <phoneticPr fontId="1" type="noConversion"/>
  </si>
  <si>
    <t>在日本蒐集到7顆龍珠，向其他人收取500</t>
    <phoneticPr fontId="1" type="noConversion"/>
  </si>
  <si>
    <t>去東京寺廟參拜，獲得好運撿到500</t>
    <phoneticPr fontId="1" type="noConversion"/>
  </si>
  <si>
    <t>騎駱駝時不慎摔倒，支付醫藥費1000</t>
    <phoneticPr fontId="1" type="noConversion"/>
  </si>
  <si>
    <t>去丹麥暈船，傷心過度，回到台灣</t>
    <phoneticPr fontId="1" type="noConversion"/>
  </si>
  <si>
    <t>在芬蘭遇到雪怪，嚇到倒退，倒退三格</t>
    <phoneticPr fontId="1" type="noConversion"/>
  </si>
  <si>
    <t>因不耐熱，緊急送醫治療，支付醫藥費2000</t>
    <phoneticPr fontId="1" type="noConversion"/>
  </si>
  <si>
    <t>碰到恐怖攻擊，腎上腺素噴發，往前三格</t>
    <phoneticPr fontId="1" type="noConversion"/>
  </si>
  <si>
    <t>搭飛機前往奧斯陸，花費10000</t>
    <phoneticPr fontId="1" type="noConversion"/>
  </si>
  <si>
    <t>吃了挪威鯖魚，智力上升，獲得1000</t>
    <phoneticPr fontId="1" type="noConversion"/>
  </si>
  <si>
    <t>回到古羅馬，打贏戰爭，獲得羅馬土地</t>
    <phoneticPr fontId="1" type="noConversion"/>
  </si>
  <si>
    <t>散步遇到棕熊，一起喝伏特加，強行奪得莫斯科土地</t>
    <phoneticPr fontId="1" type="noConversion"/>
  </si>
  <si>
    <t>玩俄羅斯娃娃，玩到腦袋打結，休息一回合</t>
    <phoneticPr fontId="1" type="noConversion"/>
  </si>
  <si>
    <t>遇到獅子，爬到樹上躲起來，休息一回合</t>
    <phoneticPr fontId="1" type="noConversion"/>
  </si>
  <si>
    <t>在大草原上奔跑，越跑越快，前進三格</t>
    <phoneticPr fontId="1" type="noConversion"/>
  </si>
  <si>
    <t>走私雪茄，被海關查扣，關監獄三回合</t>
    <phoneticPr fontId="1" type="noConversion"/>
  </si>
  <si>
    <t>和當地土著交易，獲得開普敦土地</t>
    <phoneticPr fontId="1" type="noConversion"/>
  </si>
  <si>
    <t>抵達南非好望角，什麼事都沒發生</t>
    <phoneticPr fontId="1" type="noConversion"/>
  </si>
  <si>
    <t>在北京留情，多生兩個小孩，開罰2000</t>
    <phoneticPr fontId="1" type="noConversion"/>
  </si>
  <si>
    <t>欣賞當地古蹟，渾然忘我，休息一回合</t>
    <phoneticPr fontId="1" type="noConversion"/>
  </si>
  <si>
    <t>機場走錯地方，飛到馬尼拉</t>
    <phoneticPr fontId="1" type="noConversion"/>
  </si>
  <si>
    <t>走在路上撿到100塊</t>
    <phoneticPr fontId="1" type="noConversion"/>
  </si>
  <si>
    <t>環島一週，撿到200</t>
    <phoneticPr fontId="1" type="noConversion"/>
  </si>
  <si>
    <t>不小心被草叢攻擊，休息一回合</t>
    <phoneticPr fontId="1" type="noConversion"/>
  </si>
  <si>
    <t>越南河粉好吃，什麼都沒發生</t>
    <phoneticPr fontId="1" type="noConversion"/>
  </si>
  <si>
    <t>追星花費40％總資產</t>
    <phoneticPr fontId="1" type="noConversion"/>
  </si>
  <si>
    <t>被海盜搜刮，損失其中一塊土地</t>
    <phoneticPr fontId="1" type="noConversion"/>
  </si>
  <si>
    <t>置產當地，變成大地主，直接獲得馬尼拉</t>
    <phoneticPr fontId="1" type="noConversion"/>
  </si>
  <si>
    <t>錯把葡萄牙當西班牙，倒退三格</t>
    <phoneticPr fontId="1" type="noConversion"/>
  </si>
  <si>
    <t>購買超多哈利波特周邊，花費3000</t>
    <phoneticPr fontId="1" type="noConversion"/>
  </si>
  <si>
    <t>遭到貝克街的亡靈攻擊，休息一回合</t>
    <phoneticPr fontId="1" type="noConversion"/>
  </si>
  <si>
    <t>買太多精品名牌，花費5000</t>
    <phoneticPr fontId="1" type="noConversion"/>
  </si>
  <si>
    <t>嘗試踢踏舞，踢到自己的腳，醫藥費1000</t>
    <phoneticPr fontId="1" type="noConversion"/>
  </si>
  <si>
    <t>在酒吧喝酒，喝到茫掉，休息一回合</t>
    <phoneticPr fontId="1" type="noConversion"/>
  </si>
  <si>
    <t>嘗試模仿尿尿小童，被抓進監獄，暫停三回合</t>
    <phoneticPr fontId="1" type="noConversion"/>
  </si>
  <si>
    <t>吃超多巧克力急性過敏，休息三回合</t>
    <phoneticPr fontId="1" type="noConversion"/>
  </si>
  <si>
    <t>幻想自己是希臘神，被抓進精神病院，休息三回合</t>
    <phoneticPr fontId="1" type="noConversion"/>
  </si>
  <si>
    <t>收到神秘人幫助，前進一格</t>
    <phoneticPr fontId="1" type="noConversion"/>
  </si>
  <si>
    <t>買美股失利，損失5000</t>
    <phoneticPr fontId="1" type="noConversion"/>
  </si>
  <si>
    <t>拿到時光機，往前三格</t>
    <phoneticPr fontId="1" type="noConversion"/>
  </si>
  <si>
    <t>金正恩認識你，直接獲得平壤</t>
    <phoneticPr fontId="1" type="noConversion"/>
  </si>
  <si>
    <t>你是脫北者，資產減少30％</t>
    <phoneticPr fontId="1" type="noConversion"/>
  </si>
  <si>
    <t>吃太多熱狗，撐壞肚子，醫藥費1000</t>
    <phoneticPr fontId="1" type="noConversion"/>
  </si>
  <si>
    <t>被當地人口販子抓走，暫停一回合</t>
    <phoneticPr fontId="1" type="noConversion"/>
  </si>
  <si>
    <t>遇上當地幫派衝突，資產少20%</t>
    <phoneticPr fontId="1" type="noConversion"/>
  </si>
  <si>
    <t>shape</t>
  </si>
  <si>
    <t>round</t>
  </si>
  <si>
    <t>order</t>
    <phoneticPr fontId="1" type="noConversion"/>
  </si>
  <si>
    <t>過路/購買費</t>
    <phoneticPr fontId="1" type="noConversion"/>
  </si>
  <si>
    <t>選擇玩家顏色用的</t>
    <phoneticPr fontId="1" type="noConversion"/>
  </si>
  <si>
    <t>pink</t>
    <phoneticPr fontId="1" type="noConversion"/>
  </si>
  <si>
    <t>Owner(5)</t>
  </si>
  <si>
    <t>Color(6)</t>
    <phoneticPr fontId="1" type="noConversion"/>
  </si>
  <si>
    <t>Position(7)</t>
    <phoneticPr fontId="1" type="noConversion"/>
  </si>
  <si>
    <t>Name(8)</t>
    <phoneticPr fontId="1" type="noConversion"/>
  </si>
  <si>
    <t>Cost(9)</t>
    <phoneticPr fontId="1" type="noConversion"/>
  </si>
  <si>
    <t>土地(10)</t>
    <phoneticPr fontId="1" type="noConversion"/>
  </si>
  <si>
    <r>
      <t>1</t>
    </r>
    <r>
      <rPr>
        <b/>
        <sz val="12"/>
        <color theme="1"/>
        <rFont val="Microsoft JhengHei UI"/>
        <family val="2"/>
      </rPr>
      <t>棟</t>
    </r>
    <r>
      <rPr>
        <b/>
        <sz val="12"/>
        <color theme="1"/>
        <rFont val="Microsoft JhengHei Light"/>
        <family val="2"/>
        <charset val="136"/>
      </rPr>
      <t>房子(11)</t>
    </r>
    <phoneticPr fontId="1" type="noConversion"/>
  </si>
  <si>
    <r>
      <rPr>
        <b/>
        <sz val="12"/>
        <color theme="1"/>
        <rFont val="Microsoft JhengHei UI"/>
        <family val="2"/>
      </rPr>
      <t>2棟</t>
    </r>
    <r>
      <rPr>
        <b/>
        <sz val="12"/>
        <color theme="1"/>
        <rFont val="Microsoft JhengHei Light"/>
        <family val="2"/>
        <charset val="136"/>
      </rPr>
      <t>房子(12)</t>
    </r>
    <phoneticPr fontId="1" type="noConversion"/>
  </si>
  <si>
    <r>
      <rPr>
        <b/>
        <sz val="12"/>
        <color theme="1"/>
        <rFont val="Microsoft JhengHei UI"/>
        <family val="2"/>
      </rPr>
      <t>3棟</t>
    </r>
    <r>
      <rPr>
        <b/>
        <sz val="12"/>
        <color theme="1"/>
        <rFont val="Microsoft JhengHei Light"/>
        <family val="2"/>
        <charset val="136"/>
      </rPr>
      <t>房子(13)</t>
    </r>
    <phoneticPr fontId="1" type="noConversion"/>
  </si>
  <si>
    <r>
      <rPr>
        <b/>
        <sz val="12"/>
        <color theme="1"/>
        <rFont val="Microsoft JhengHei UI"/>
        <family val="2"/>
      </rPr>
      <t>4棟</t>
    </r>
    <r>
      <rPr>
        <b/>
        <sz val="12"/>
        <color theme="1"/>
        <rFont val="Microsoft JhengHei Light"/>
        <family val="2"/>
        <charset val="136"/>
      </rPr>
      <t>房子(14)</t>
    </r>
    <phoneticPr fontId="1" type="noConversion"/>
  </si>
  <si>
    <t>房子數(15)</t>
  </si>
  <si>
    <t>區塊(16)</t>
    <phoneticPr fontId="1" type="noConversion"/>
  </si>
  <si>
    <t>row</t>
    <phoneticPr fontId="1" type="noConversion"/>
  </si>
  <si>
    <t>column</t>
    <phoneticPr fontId="1" type="noConversion"/>
  </si>
  <si>
    <t>Pink</t>
    <phoneticPr fontId="1" type="noConversion"/>
  </si>
  <si>
    <t>244, 191, 191</t>
    <phoneticPr fontId="1" type="noConversion"/>
  </si>
  <si>
    <t>orange</t>
    <phoneticPr fontId="1" type="noConversion"/>
  </si>
  <si>
    <t>#</t>
  </si>
  <si>
    <t>U</t>
    <phoneticPr fontId="1" type="noConversion"/>
  </si>
  <si>
    <t>Orange</t>
    <phoneticPr fontId="1" type="noConversion"/>
  </si>
  <si>
    <t>255, 217, 192</t>
    <phoneticPr fontId="1" type="noConversion"/>
  </si>
  <si>
    <t>yellow</t>
    <phoneticPr fontId="1" type="noConversion"/>
  </si>
  <si>
    <t>#FFC000</t>
  </si>
  <si>
    <t>T</t>
    <phoneticPr fontId="1" type="noConversion"/>
  </si>
  <si>
    <t>Yellow</t>
    <phoneticPr fontId="1" type="noConversion"/>
  </si>
  <si>
    <t>250, 240, 215</t>
    <phoneticPr fontId="1" type="noConversion"/>
  </si>
  <si>
    <t>blue</t>
    <phoneticPr fontId="1" type="noConversion"/>
  </si>
  <si>
    <t>S</t>
    <phoneticPr fontId="1" type="noConversion"/>
  </si>
  <si>
    <t>Blue</t>
    <phoneticPr fontId="1" type="noConversion"/>
  </si>
  <si>
    <t>140, 192, 222</t>
    <phoneticPr fontId="1" type="noConversion"/>
  </si>
  <si>
    <t>R</t>
    <phoneticPr fontId="1" type="noConversion"/>
  </si>
  <si>
    <t>玩家顏色選擇結果</t>
    <phoneticPr fontId="1" type="noConversion"/>
  </si>
  <si>
    <t>Q</t>
    <phoneticPr fontId="1" type="noConversion"/>
  </si>
  <si>
    <t>player1</t>
    <phoneticPr fontId="1" type="noConversion"/>
  </si>
  <si>
    <t>P</t>
    <phoneticPr fontId="1" type="noConversion"/>
  </si>
  <si>
    <t>player2</t>
    <phoneticPr fontId="1" type="noConversion"/>
  </si>
  <si>
    <t>#FFFF00</t>
  </si>
  <si>
    <t>O</t>
    <phoneticPr fontId="1" type="noConversion"/>
  </si>
  <si>
    <t>player3</t>
    <phoneticPr fontId="1" type="noConversion"/>
  </si>
  <si>
    <t>N</t>
    <phoneticPr fontId="1" type="noConversion"/>
  </si>
  <si>
    <t>player4</t>
    <phoneticPr fontId="1" type="noConversion"/>
  </si>
  <si>
    <t>M</t>
    <phoneticPr fontId="1" type="noConversion"/>
  </si>
  <si>
    <t>L</t>
    <phoneticPr fontId="1" type="noConversion"/>
  </si>
  <si>
    <t>K</t>
    <phoneticPr fontId="1" type="noConversion"/>
  </si>
  <si>
    <t>J</t>
    <phoneticPr fontId="1" type="noConversion"/>
  </si>
  <si>
    <t>#92D050</t>
  </si>
  <si>
    <t>#00B050</t>
  </si>
  <si>
    <t>#00B0F0</t>
  </si>
  <si>
    <t>#0070C0</t>
  </si>
  <si>
    <t>#3E34A2</t>
  </si>
  <si>
    <t>#7030A0</t>
  </si>
  <si>
    <t>在港口成功走私貨物，獲得100</t>
    <phoneticPr fontId="1" type="noConversion"/>
  </si>
  <si>
    <t>在古蹟拍攝影片，點閱大增，獲得300</t>
    <phoneticPr fontId="1" type="noConversion"/>
  </si>
  <si>
    <t>在德國當翻譯，賺得300</t>
    <phoneticPr fontId="1" type="noConversion"/>
  </si>
  <si>
    <t>學習仿畫，獲得400</t>
    <phoneticPr fontId="1" type="noConversion"/>
  </si>
  <si>
    <t>整形整成大帥哥，獲得500</t>
    <phoneticPr fontId="1" type="noConversion"/>
  </si>
  <si>
    <t>運氣超好，獲得100</t>
    <phoneticPr fontId="1" type="noConversion"/>
  </si>
  <si>
    <t>去水上市集，意外撿到黃金，獲得100</t>
    <phoneticPr fontId="1" type="noConversion"/>
  </si>
  <si>
    <t>看到人面獅身像，想到自己的貓，不禁流淚，花5000買衛生紙</t>
    <phoneticPr fontId="1" type="noConversion"/>
  </si>
  <si>
    <t>去古巴狂歡，摸走別人錢包，獲得500</t>
    <phoneticPr fontId="1" type="noConversion"/>
  </si>
  <si>
    <t>模仿紙房子搶劫成功，和大家分紅，每人加100</t>
    <phoneticPr fontId="1" type="noConversion"/>
  </si>
  <si>
    <r>
      <t>德國豬腳好</t>
    </r>
    <r>
      <rPr>
        <sz val="12"/>
        <color theme="1"/>
        <rFont val="Microsoft JhengHei"/>
        <family val="3"/>
      </rPr>
      <t>ㄔ</t>
    </r>
    <r>
      <rPr>
        <sz val="12"/>
        <color theme="1"/>
        <rFont val="源流明體 R"/>
        <family val="3"/>
        <charset val="136"/>
      </rPr>
      <t>，花費3000</t>
    </r>
    <phoneticPr fontId="1" type="noConversion"/>
  </si>
  <si>
    <t>模仿巴黎鐵塔，一夕爆紅，獲得100大紅包</t>
    <phoneticPr fontId="1" type="noConversion"/>
  </si>
  <si>
    <t>騎大象受傷，醫藥費2000</t>
    <phoneticPr fontId="1" type="noConversion"/>
  </si>
  <si>
    <t>與大公司貿易，獲利500</t>
    <phoneticPr fontId="1" type="noConversion"/>
  </si>
  <si>
    <t>Pause</t>
    <phoneticPr fontId="1" type="noConversion"/>
  </si>
  <si>
    <t>搶到大紅包，獲得100元</t>
    <phoneticPr fontId="1" type="noConversion"/>
  </si>
  <si>
    <t>布魯
塞爾</t>
    <phoneticPr fontId="1" type="noConversion"/>
  </si>
  <si>
    <t>哥本
哈根</t>
    <phoneticPr fontId="1" type="noConversion"/>
  </si>
  <si>
    <t>赫爾
辛基</t>
    <phoneticPr fontId="1" type="noConversion"/>
  </si>
  <si>
    <t>耶路
撒冷</t>
    <phoneticPr fontId="1" type="noConversion"/>
  </si>
  <si>
    <t>GO</t>
  </si>
  <si>
    <t xml:space="preserve">          Choose a color for each player</t>
    <phoneticPr fontId="1" type="noConversion"/>
  </si>
  <si>
    <t>status</t>
    <phoneticPr fontId="1" type="noConversion"/>
  </si>
  <si>
    <t>Orange</t>
  </si>
  <si>
    <t>Pink</t>
  </si>
  <si>
    <t>244, 191, 191</t>
  </si>
  <si>
    <t>Yellow</t>
  </si>
  <si>
    <t>250, 240, 215</t>
  </si>
  <si>
    <t>Blue</t>
  </si>
  <si>
    <t>140, 192, 222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</si>
</sst>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Microsoft JhengHei Light"/>
      <family val="2"/>
      <charset val="136"/>
    </font>
    <font>
      <b/>
      <sz val="24"/>
      <color theme="1"/>
      <name val="Microsoft JhengHei Light"/>
      <family val="2"/>
      <charset val="136"/>
    </font>
    <font>
      <b/>
      <sz val="16"/>
      <color theme="1"/>
      <name val="Microsoft JhengHei Light"/>
      <family val="2"/>
      <charset val="136"/>
    </font>
    <font>
      <b/>
      <sz val="36"/>
      <color theme="1"/>
      <name val="Microsoft JhengHei Light"/>
      <family val="2"/>
      <charset val="136"/>
    </font>
    <font>
      <b/>
      <sz val="24"/>
      <color theme="0"/>
      <name val="Microsoft JhengHei Light"/>
      <family val="2"/>
      <charset val="136"/>
    </font>
    <font>
      <b/>
      <sz val="18"/>
      <color theme="1"/>
      <name val="Microsoft JhengHei Light"/>
      <family val="2"/>
      <charset val="136"/>
    </font>
    <font>
      <b/>
      <sz val="48"/>
      <color theme="1"/>
      <name val="Microsoft JhengHei Light"/>
      <family val="2"/>
      <charset val="136"/>
    </font>
    <font>
      <b/>
      <sz val="12"/>
      <color theme="1"/>
      <name val="Microsoft JhengHei UI"/>
      <family val="2"/>
    </font>
    <font>
      <b/>
      <sz val="12"/>
      <color theme="1"/>
      <name val="Microsoft JhengHei UI"/>
      <family val="2"/>
      <charset val="136"/>
    </font>
    <font>
      <sz val="12"/>
      <color theme="1"/>
      <name val="Calibri"/>
      <family val="2"/>
    </font>
    <font>
      <sz val="12"/>
      <color theme="1"/>
      <name val="微軟正黑體"/>
      <family val="2"/>
      <charset val="136"/>
    </font>
    <font>
      <b/>
      <sz val="12"/>
      <name val="Microsoft JhengHei Light"/>
      <family val="2"/>
      <charset val="136"/>
    </font>
    <font>
      <b/>
      <sz val="12"/>
      <name val="Microsoft JhengHei UI"/>
      <family val="2"/>
      <charset val="136"/>
    </font>
    <font>
      <b/>
      <sz val="12"/>
      <color theme="1"/>
      <name val="Microsoft JhengHei UI Light"/>
      <family val="2"/>
      <charset val="136"/>
    </font>
    <font>
      <sz val="12"/>
      <color theme="1"/>
      <name val="Microsoft JhengHei UI Light"/>
      <family val="2"/>
      <charset val="136"/>
    </font>
    <font>
      <sz val="12"/>
      <color theme="1"/>
      <name val="新細明體"/>
      <family val="1"/>
      <charset val="136"/>
      <scheme val="major"/>
    </font>
    <font>
      <sz val="12"/>
      <color theme="1"/>
      <name val="Microsoft JhengHei UI"/>
      <family val="2"/>
      <charset val="136"/>
    </font>
    <font>
      <sz val="12"/>
      <color theme="1"/>
      <name val="Microsoft JhengHei UI"/>
      <family val="2"/>
    </font>
    <font>
      <b/>
      <sz val="12"/>
      <color theme="1"/>
      <name val="Lucida Bright"/>
      <family val="1"/>
    </font>
    <font>
      <sz val="12"/>
      <color theme="1"/>
      <name val="Lucida Bright"/>
      <family val="1"/>
    </font>
    <font>
      <sz val="12"/>
      <color theme="1"/>
      <name val="源流明體 R"/>
      <family val="3"/>
      <charset val="136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細明體"/>
      <family val="1"/>
      <charset val="136"/>
    </font>
    <font>
      <b/>
      <sz val="72"/>
      <color theme="1"/>
      <name val="Lucida Bright"/>
      <family val="1"/>
    </font>
    <font>
      <sz val="12"/>
      <color theme="1"/>
      <name val="Microsoft JhengHei"/>
      <family val="3"/>
    </font>
    <font>
      <b/>
      <sz val="28"/>
      <color theme="1"/>
      <name val="Microsoft JhengHei Light"/>
      <family val="2"/>
      <charset val="136"/>
    </font>
    <font>
      <b/>
      <sz val="28"/>
      <color theme="1"/>
      <name val="Microsoft JhengHei UI"/>
      <family val="2"/>
      <charset val="136"/>
    </font>
    <font>
      <b/>
      <sz val="28"/>
      <name val="Microsoft JhengHei Light"/>
      <family val="2"/>
      <charset val="136"/>
    </font>
    <font>
      <b/>
      <sz val="14"/>
      <color theme="1"/>
      <name val="Lucida Bright"/>
      <family val="1"/>
    </font>
  </fonts>
  <fills count="3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E3544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4BFBF"/>
        <bgColor indexed="64"/>
      </patternFill>
    </fill>
    <fill>
      <patternFill patternType="solid">
        <fgColor rgb="FFFFD9C0"/>
        <bgColor indexed="64"/>
      </patternFill>
    </fill>
    <fill>
      <patternFill patternType="solid">
        <fgColor rgb="FFFAF0D7"/>
        <bgColor indexed="64"/>
      </patternFill>
    </fill>
    <fill>
      <patternFill patternType="solid">
        <fgColor rgb="FF8CC0DE"/>
        <bgColor indexed="64"/>
      </patternFill>
    </fill>
    <fill>
      <patternFill patternType="solid">
        <fgColor rgb="FF3E34A2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rgb="FFFFFF6D"/>
        <bgColor indexed="64"/>
      </patternFill>
    </fill>
    <fill>
      <patternFill patternType="solid">
        <fgColor rgb="FFCEEAB0"/>
        <bgColor indexed="64"/>
      </patternFill>
    </fill>
    <fill>
      <patternFill patternType="solid">
        <fgColor rgb="FF79DCFF"/>
        <bgColor indexed="64"/>
      </patternFill>
    </fill>
    <fill>
      <patternFill patternType="solid">
        <fgColor rgb="FF3FADFF"/>
        <bgColor indexed="64"/>
      </patternFill>
    </fill>
    <fill>
      <patternFill patternType="solid">
        <fgColor rgb="FF837AD4"/>
        <bgColor indexed="64"/>
      </patternFill>
    </fill>
    <fill>
      <patternFill patternType="solid">
        <fgColor rgb="FFBD92DE"/>
        <bgColor indexed="64"/>
      </patternFill>
    </fill>
    <fill>
      <patternFill patternType="solid">
        <fgColor rgb="FF93DD95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textRotation="90"/>
    </xf>
    <xf numFmtId="0" fontId="4" fillId="0" borderId="10" xfId="0" applyFont="1" applyBorder="1" applyAlignment="1">
      <alignment horizontal="center" vertical="center" textRotation="180"/>
    </xf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1" fillId="19" borderId="0" xfId="0" applyFont="1" applyFill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1" fillId="0" borderId="0" xfId="0" applyFont="1">
      <alignment vertical="center"/>
    </xf>
    <xf numFmtId="0" fontId="12" fillId="0" borderId="0" xfId="0" applyFont="1" applyAlignment="1">
      <alignment vertical="center" wrapText="1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0" fillId="21" borderId="0" xfId="0" applyFill="1">
      <alignment vertical="center"/>
    </xf>
    <xf numFmtId="0" fontId="18" fillId="21" borderId="0" xfId="0" applyFont="1" applyFill="1">
      <alignment vertical="center"/>
    </xf>
    <xf numFmtId="0" fontId="19" fillId="21" borderId="0" xfId="0" applyFont="1" applyFill="1">
      <alignment vertical="center"/>
    </xf>
    <xf numFmtId="0" fontId="17" fillId="14" borderId="9" xfId="0" applyFont="1" applyFill="1" applyBorder="1">
      <alignment vertical="center"/>
    </xf>
    <xf numFmtId="0" fontId="0" fillId="0" borderId="9" xfId="0" applyBorder="1">
      <alignment vertical="center"/>
    </xf>
    <xf numFmtId="0" fontId="17" fillId="15" borderId="9" xfId="0" applyFont="1" applyFill="1" applyBorder="1">
      <alignment vertical="center"/>
    </xf>
    <xf numFmtId="0" fontId="17" fillId="16" borderId="9" xfId="0" applyFont="1" applyFill="1" applyBorder="1">
      <alignment vertical="center"/>
    </xf>
    <xf numFmtId="0" fontId="17" fillId="17" borderId="9" xfId="0" applyFont="1" applyFill="1" applyBorder="1">
      <alignment vertical="center"/>
    </xf>
    <xf numFmtId="0" fontId="20" fillId="22" borderId="0" xfId="0" applyFont="1" applyFill="1" applyAlignment="1">
      <alignment horizontal="center" vertical="center"/>
    </xf>
    <xf numFmtId="0" fontId="21" fillId="21" borderId="0" xfId="0" applyFont="1" applyFill="1">
      <alignment vertical="center"/>
    </xf>
    <xf numFmtId="0" fontId="21" fillId="23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25" borderId="28" xfId="0" applyFont="1" applyFill="1" applyBorder="1">
      <alignment vertical="center"/>
    </xf>
    <xf numFmtId="0" fontId="22" fillId="26" borderId="28" xfId="0" applyFont="1" applyFill="1" applyBorder="1">
      <alignment vertical="center"/>
    </xf>
    <xf numFmtId="0" fontId="22" fillId="20" borderId="28" xfId="0" applyFont="1" applyFill="1" applyBorder="1" applyAlignment="1">
      <alignment horizontal="center" vertical="center"/>
    </xf>
    <xf numFmtId="0" fontId="22" fillId="24" borderId="28" xfId="0" applyFont="1" applyFill="1" applyBorder="1" applyAlignment="1">
      <alignment horizontal="center" vertical="center"/>
    </xf>
    <xf numFmtId="0" fontId="28" fillId="29" borderId="9" xfId="0" applyFont="1" applyFill="1" applyBorder="1" applyAlignment="1">
      <alignment horizontal="center" vertical="center"/>
    </xf>
    <xf numFmtId="0" fontId="28" fillId="27" borderId="14" xfId="0" applyFont="1" applyFill="1" applyBorder="1" applyAlignment="1">
      <alignment horizontal="center" vertical="center"/>
    </xf>
    <xf numFmtId="0" fontId="28" fillId="28" borderId="9" xfId="0" applyFont="1" applyFill="1" applyBorder="1" applyAlignment="1">
      <alignment horizontal="center" vertical="center"/>
    </xf>
    <xf numFmtId="0" fontId="28" fillId="34" borderId="9" xfId="0" applyFont="1" applyFill="1" applyBorder="1" applyAlignment="1">
      <alignment horizontal="center" vertical="center"/>
    </xf>
    <xf numFmtId="0" fontId="28" fillId="30" borderId="9" xfId="0" applyFont="1" applyFill="1" applyBorder="1" applyAlignment="1">
      <alignment horizontal="center" vertical="center"/>
    </xf>
    <xf numFmtId="0" fontId="28" fillId="31" borderId="9" xfId="0" applyFont="1" applyFill="1" applyBorder="1" applyAlignment="1">
      <alignment horizontal="center" vertical="center"/>
    </xf>
    <xf numFmtId="0" fontId="28" fillId="32" borderId="9" xfId="0" applyFont="1" applyFill="1" applyBorder="1" applyAlignment="1">
      <alignment horizontal="center" vertical="center"/>
    </xf>
    <xf numFmtId="0" fontId="28" fillId="33" borderId="15" xfId="0" applyFont="1" applyFill="1" applyBorder="1" applyAlignment="1">
      <alignment horizontal="center" vertical="center"/>
    </xf>
    <xf numFmtId="0" fontId="28" fillId="27" borderId="16" xfId="0" applyFont="1" applyFill="1" applyBorder="1" applyAlignment="1">
      <alignment horizontal="center" vertical="center"/>
    </xf>
    <xf numFmtId="0" fontId="28" fillId="28" borderId="17" xfId="0" applyFont="1" applyFill="1" applyBorder="1" applyAlignment="1">
      <alignment horizontal="center" vertical="center"/>
    </xf>
    <xf numFmtId="0" fontId="28" fillId="29" borderId="17" xfId="0" applyFont="1" applyFill="1" applyBorder="1" applyAlignment="1">
      <alignment horizontal="center" vertical="center"/>
    </xf>
    <xf numFmtId="0" fontId="28" fillId="34" borderId="17" xfId="0" applyFont="1" applyFill="1" applyBorder="1" applyAlignment="1">
      <alignment horizontal="center" vertical="center"/>
    </xf>
    <xf numFmtId="0" fontId="28" fillId="30" borderId="17" xfId="0" applyFont="1" applyFill="1" applyBorder="1" applyAlignment="1">
      <alignment horizontal="center" vertical="center"/>
    </xf>
    <xf numFmtId="0" fontId="28" fillId="31" borderId="17" xfId="0" applyFont="1" applyFill="1" applyBorder="1" applyAlignment="1">
      <alignment horizontal="center" vertical="center"/>
    </xf>
    <xf numFmtId="0" fontId="28" fillId="32" borderId="17" xfId="0" applyFont="1" applyFill="1" applyBorder="1" applyAlignment="1">
      <alignment horizontal="center" vertical="center"/>
    </xf>
    <xf numFmtId="0" fontId="28" fillId="33" borderId="18" xfId="0" applyFont="1" applyFill="1" applyBorder="1" applyAlignment="1">
      <alignment horizontal="center" vertical="center"/>
    </xf>
    <xf numFmtId="0" fontId="28" fillId="5" borderId="32" xfId="0" applyFont="1" applyFill="1" applyBorder="1" applyAlignment="1">
      <alignment horizontal="center" vertical="center"/>
    </xf>
    <xf numFmtId="0" fontId="28" fillId="5" borderId="33" xfId="0" applyFont="1" applyFill="1" applyBorder="1" applyAlignment="1">
      <alignment horizontal="center" vertical="center"/>
    </xf>
    <xf numFmtId="0" fontId="28" fillId="5" borderId="34" xfId="0" applyFont="1" applyFill="1" applyBorder="1" applyAlignment="1">
      <alignment horizontal="center" vertical="center"/>
    </xf>
    <xf numFmtId="0" fontId="28" fillId="14" borderId="29" xfId="0" applyFont="1" applyFill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9" fillId="15" borderId="14" xfId="0" applyFont="1" applyFill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8" fillId="17" borderId="14" xfId="0" applyFont="1" applyFill="1" applyBorder="1" applyAlignment="1">
      <alignment horizontal="center" vertical="center"/>
    </xf>
    <xf numFmtId="0" fontId="21" fillId="15" borderId="0" xfId="0" applyFont="1" applyFill="1" applyAlignment="1">
      <alignment horizontal="center" vertical="center"/>
    </xf>
    <xf numFmtId="0" fontId="21" fillId="16" borderId="0" xfId="0" applyFont="1" applyFill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21" fillId="17" borderId="0" xfId="0" applyFont="1" applyFill="1" applyAlignment="1">
      <alignment horizontal="center" vertical="center"/>
    </xf>
    <xf numFmtId="0" fontId="31" fillId="21" borderId="0" xfId="0" applyFont="1" applyFill="1" applyAlignment="1">
      <alignment horizontal="center" vertical="center"/>
    </xf>
    <xf numFmtId="0" fontId="5" fillId="35" borderId="19" xfId="0" applyFont="1" applyFill="1" applyBorder="1" applyAlignment="1">
      <alignment horizontal="center" vertical="center" wrapText="1"/>
    </xf>
    <xf numFmtId="0" fontId="5" fillId="35" borderId="20" xfId="0" applyFont="1" applyFill="1" applyBorder="1" applyAlignment="1">
      <alignment horizontal="center" vertical="center" wrapText="1"/>
    </xf>
    <xf numFmtId="0" fontId="5" fillId="35" borderId="21" xfId="0" applyFont="1" applyFill="1" applyBorder="1" applyAlignment="1">
      <alignment horizontal="center" vertical="center" wrapText="1"/>
    </xf>
    <xf numFmtId="0" fontId="8" fillId="15" borderId="23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5" fillId="35" borderId="23" xfId="0" applyFont="1" applyFill="1" applyBorder="1" applyAlignment="1">
      <alignment horizontal="center" vertical="center" textRotation="180"/>
    </xf>
    <xf numFmtId="0" fontId="5" fillId="35" borderId="24" xfId="0" applyFont="1" applyFill="1" applyBorder="1" applyAlignment="1">
      <alignment horizontal="center" vertical="center" textRotation="180"/>
    </xf>
    <xf numFmtId="0" fontId="5" fillId="35" borderId="22" xfId="0" applyFont="1" applyFill="1" applyBorder="1" applyAlignment="1">
      <alignment horizontal="center" vertical="center" textRotation="180"/>
    </xf>
    <xf numFmtId="0" fontId="6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28" fillId="27" borderId="19" xfId="0" applyFont="1" applyFill="1" applyBorder="1" applyAlignment="1">
      <alignment horizontal="center" vertical="center"/>
    </xf>
    <xf numFmtId="0" fontId="28" fillId="27" borderId="20" xfId="0" applyFont="1" applyFill="1" applyBorder="1" applyAlignment="1">
      <alignment horizontal="center" vertical="center"/>
    </xf>
    <xf numFmtId="0" fontId="28" fillId="27" borderId="21" xfId="0" applyFont="1" applyFill="1" applyBorder="1" applyAlignment="1">
      <alignment horizontal="center" vertical="center"/>
    </xf>
    <xf numFmtId="0" fontId="28" fillId="30" borderId="19" xfId="0" applyFont="1" applyFill="1" applyBorder="1" applyAlignment="1">
      <alignment horizontal="center" vertical="center"/>
    </xf>
    <xf numFmtId="0" fontId="28" fillId="30" borderId="20" xfId="0" applyFont="1" applyFill="1" applyBorder="1" applyAlignment="1">
      <alignment horizontal="center" vertical="center"/>
    </xf>
    <xf numFmtId="0" fontId="28" fillId="30" borderId="21" xfId="0" applyFont="1" applyFill="1" applyBorder="1" applyAlignment="1">
      <alignment horizontal="center" vertical="center"/>
    </xf>
    <xf numFmtId="0" fontId="28" fillId="30" borderId="19" xfId="0" applyFont="1" applyFill="1" applyBorder="1" applyAlignment="1">
      <alignment horizontal="center" vertical="center" wrapText="1"/>
    </xf>
    <xf numFmtId="0" fontId="30" fillId="31" borderId="19" xfId="0" applyFont="1" applyFill="1" applyBorder="1" applyAlignment="1">
      <alignment horizontal="center" vertical="center" wrapText="1"/>
    </xf>
    <xf numFmtId="0" fontId="30" fillId="31" borderId="20" xfId="0" applyFont="1" applyFill="1" applyBorder="1" applyAlignment="1">
      <alignment horizontal="center" vertical="center"/>
    </xf>
    <xf numFmtId="0" fontId="30" fillId="31" borderId="21" xfId="0" applyFont="1" applyFill="1" applyBorder="1" applyAlignment="1">
      <alignment horizontal="center" vertical="center"/>
    </xf>
    <xf numFmtId="0" fontId="30" fillId="31" borderId="19" xfId="0" applyFont="1" applyFill="1" applyBorder="1" applyAlignment="1">
      <alignment horizontal="center" vertical="center"/>
    </xf>
    <xf numFmtId="0" fontId="30" fillId="32" borderId="23" xfId="0" applyFont="1" applyFill="1" applyBorder="1" applyAlignment="1">
      <alignment horizontal="center" vertical="center" textRotation="180"/>
    </xf>
    <xf numFmtId="0" fontId="30" fillId="32" borderId="24" xfId="0" applyFont="1" applyFill="1" applyBorder="1" applyAlignment="1">
      <alignment horizontal="center" vertical="center" textRotation="180"/>
    </xf>
    <xf numFmtId="0" fontId="30" fillId="32" borderId="22" xfId="0" applyFont="1" applyFill="1" applyBorder="1" applyAlignment="1">
      <alignment horizontal="center" vertical="center" textRotation="180"/>
    </xf>
    <xf numFmtId="0" fontId="5" fillId="35" borderId="23" xfId="0" applyFont="1" applyFill="1" applyBorder="1" applyAlignment="1">
      <alignment horizontal="center" vertical="center" textRotation="90" wrapText="1"/>
    </xf>
    <xf numFmtId="0" fontId="5" fillId="35" borderId="24" xfId="0" applyFont="1" applyFill="1" applyBorder="1" applyAlignment="1">
      <alignment horizontal="center" vertical="center" textRotation="90" wrapText="1"/>
    </xf>
    <xf numFmtId="0" fontId="5" fillId="35" borderId="22" xfId="0" applyFont="1" applyFill="1" applyBorder="1" applyAlignment="1">
      <alignment horizontal="center" vertical="center" textRotation="90" wrapText="1"/>
    </xf>
    <xf numFmtId="0" fontId="3" fillId="20" borderId="11" xfId="0" applyFont="1" applyFill="1" applyBorder="1" applyAlignment="1">
      <alignment horizontal="center" vertical="center"/>
    </xf>
    <xf numFmtId="0" fontId="3" fillId="20" borderId="12" xfId="0" applyFont="1" applyFill="1" applyBorder="1" applyAlignment="1">
      <alignment horizontal="center" vertical="center"/>
    </xf>
    <xf numFmtId="0" fontId="3" fillId="20" borderId="13" xfId="0" applyFont="1" applyFill="1" applyBorder="1" applyAlignment="1">
      <alignment horizontal="center" vertical="center"/>
    </xf>
    <xf numFmtId="0" fontId="3" fillId="20" borderId="14" xfId="0" applyFont="1" applyFill="1" applyBorder="1" applyAlignment="1">
      <alignment horizontal="center" vertical="center"/>
    </xf>
    <xf numFmtId="0" fontId="3" fillId="20" borderId="9" xfId="0" applyFont="1" applyFill="1" applyBorder="1" applyAlignment="1">
      <alignment horizontal="center" vertical="center"/>
    </xf>
    <xf numFmtId="0" fontId="3" fillId="20" borderId="15" xfId="0" applyFont="1" applyFill="1" applyBorder="1" applyAlignment="1">
      <alignment horizontal="center" vertical="center"/>
    </xf>
    <xf numFmtId="0" fontId="3" fillId="20" borderId="25" xfId="0" applyFont="1" applyFill="1" applyBorder="1" applyAlignment="1">
      <alignment horizontal="center" vertical="center"/>
    </xf>
    <xf numFmtId="0" fontId="3" fillId="20" borderId="26" xfId="0" applyFont="1" applyFill="1" applyBorder="1" applyAlignment="1">
      <alignment horizontal="center" vertical="center"/>
    </xf>
    <xf numFmtId="0" fontId="3" fillId="20" borderId="27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8" fillId="4" borderId="23" xfId="0" applyFont="1" applyFill="1" applyBorder="1" applyAlignment="1">
      <alignment horizontal="center" vertical="center"/>
    </xf>
    <xf numFmtId="0" fontId="2" fillId="4" borderId="22" xfId="0" applyFont="1" applyFill="1" applyBorder="1" applyAlignment="1">
      <alignment horizontal="center" vertical="center"/>
    </xf>
    <xf numFmtId="0" fontId="28" fillId="28" borderId="19" xfId="0" applyFont="1" applyFill="1" applyBorder="1" applyAlignment="1">
      <alignment horizontal="center" vertical="center"/>
    </xf>
    <xf numFmtId="0" fontId="28" fillId="28" borderId="20" xfId="0" applyFont="1" applyFill="1" applyBorder="1" applyAlignment="1">
      <alignment horizontal="center" vertical="center"/>
    </xf>
    <xf numFmtId="0" fontId="28" fillId="28" borderId="21" xfId="0" applyFont="1" applyFill="1" applyBorder="1" applyAlignment="1">
      <alignment horizontal="center" vertical="center"/>
    </xf>
    <xf numFmtId="0" fontId="28" fillId="29" borderId="23" xfId="0" applyFont="1" applyFill="1" applyBorder="1" applyAlignment="1">
      <alignment horizontal="center" vertical="center" textRotation="90" wrapText="1"/>
    </xf>
    <xf numFmtId="0" fontId="28" fillId="29" borderId="24" xfId="0" applyFont="1" applyFill="1" applyBorder="1" applyAlignment="1">
      <alignment horizontal="center" vertical="center" textRotation="90"/>
    </xf>
    <xf numFmtId="0" fontId="28" fillId="29" borderId="22" xfId="0" applyFont="1" applyFill="1" applyBorder="1" applyAlignment="1">
      <alignment horizontal="center" vertical="center" textRotation="90"/>
    </xf>
    <xf numFmtId="0" fontId="28" fillId="29" borderId="23" xfId="0" applyFont="1" applyFill="1" applyBorder="1" applyAlignment="1">
      <alignment horizontal="center" vertical="center" textRotation="90"/>
    </xf>
    <xf numFmtId="0" fontId="28" fillId="34" borderId="23" xfId="0" applyFont="1" applyFill="1" applyBorder="1" applyAlignment="1">
      <alignment horizontal="center" vertical="center" textRotation="90"/>
    </xf>
    <xf numFmtId="0" fontId="28" fillId="34" borderId="24" xfId="0" applyFont="1" applyFill="1" applyBorder="1" applyAlignment="1">
      <alignment horizontal="center" vertical="center" textRotation="90"/>
    </xf>
    <xf numFmtId="0" fontId="28" fillId="34" borderId="22" xfId="0" applyFont="1" applyFill="1" applyBorder="1" applyAlignment="1">
      <alignment horizontal="center" vertical="center" textRotation="90"/>
    </xf>
    <xf numFmtId="0" fontId="30" fillId="33" borderId="23" xfId="0" applyFont="1" applyFill="1" applyBorder="1" applyAlignment="1">
      <alignment horizontal="center" vertical="center" textRotation="180"/>
    </xf>
    <xf numFmtId="0" fontId="30" fillId="33" borderId="24" xfId="0" applyFont="1" applyFill="1" applyBorder="1" applyAlignment="1">
      <alignment horizontal="center" vertical="center" textRotation="180"/>
    </xf>
    <xf numFmtId="0" fontId="30" fillId="33" borderId="22" xfId="0" applyFont="1" applyFill="1" applyBorder="1" applyAlignment="1">
      <alignment horizontal="center" vertical="center" textRotation="180"/>
    </xf>
    <xf numFmtId="0" fontId="2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34774"/>
      <color rgb="FFF6B166"/>
      <color rgb="FFBD92DE"/>
      <color rgb="FF837AD4"/>
      <color rgb="FF3FADFF"/>
      <color rgb="FF79DCFF"/>
      <color rgb="FF93DD95"/>
      <color rgb="FFCEEAB0"/>
      <color rgb="FFFFFF6D"/>
      <color rgb="FFFFDE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3</xdr:row>
      <xdr:rowOff>190500</xdr:rowOff>
    </xdr:from>
    <xdr:to>
      <xdr:col>7</xdr:col>
      <xdr:colOff>596900</xdr:colOff>
      <xdr:row>5</xdr:row>
      <xdr:rowOff>26459</xdr:rowOff>
    </xdr:to>
    <xdr:sp macro="" textlink="">
      <xdr:nvSpPr>
        <xdr:cNvPr id="5121" name="ComboBox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38100</xdr:colOff>
      <xdr:row>5</xdr:row>
      <xdr:rowOff>215900</xdr:rowOff>
    </xdr:from>
    <xdr:to>
      <xdr:col>8</xdr:col>
      <xdr:colOff>0</xdr:colOff>
      <xdr:row>7</xdr:row>
      <xdr:rowOff>88899</xdr:rowOff>
    </xdr:to>
    <xdr:sp macro="" textlink="">
      <xdr:nvSpPr>
        <xdr:cNvPr id="5122" name="ComboBox2" hidden="1">
          <a:extLst>
            <a:ext uri="{63B3BB69-23CF-44E3-9099-C40C66FF867C}">
              <a14:compatExt xmlns:a14="http://schemas.microsoft.com/office/drawing/2010/main" spid="_x0000_s5122"/>
            </a:ext>
            <a:ext uri="{FF2B5EF4-FFF2-40B4-BE49-F238E27FC236}">
              <a16:creationId xmlns:a16="http://schemas.microsoft.com/office/drawing/2014/main" id="{00000000-0008-0000-0000-000002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25400</xdr:colOff>
      <xdr:row>8</xdr:row>
      <xdr:rowOff>12700</xdr:rowOff>
    </xdr:from>
    <xdr:to>
      <xdr:col>7</xdr:col>
      <xdr:colOff>596900</xdr:colOff>
      <xdr:row>9</xdr:row>
      <xdr:rowOff>101599</xdr:rowOff>
    </xdr:to>
    <xdr:sp macro="" textlink="">
      <xdr:nvSpPr>
        <xdr:cNvPr id="5123" name="ComboBox3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000-000003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38100</xdr:colOff>
      <xdr:row>10</xdr:row>
      <xdr:rowOff>25400</xdr:rowOff>
    </xdr:from>
    <xdr:to>
      <xdr:col>8</xdr:col>
      <xdr:colOff>0</xdr:colOff>
      <xdr:row>11</xdr:row>
      <xdr:rowOff>114301</xdr:rowOff>
    </xdr:to>
    <xdr:sp macro="" textlink="">
      <xdr:nvSpPr>
        <xdr:cNvPr id="5124" name="ComboBox4" hidden="1">
          <a:extLst>
            <a:ext uri="{63B3BB69-23CF-44E3-9099-C40C66FF867C}">
              <a14:compatExt xmlns:a14="http://schemas.microsoft.com/office/drawing/2010/main" spid="_x0000_s5124"/>
            </a:ext>
            <a:ext uri="{FF2B5EF4-FFF2-40B4-BE49-F238E27FC236}">
              <a16:creationId xmlns:a16="http://schemas.microsoft.com/office/drawing/2014/main" id="{00000000-0008-0000-0000-000004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304800</xdr:colOff>
      <xdr:row>12</xdr:row>
      <xdr:rowOff>25400</xdr:rowOff>
    </xdr:from>
    <xdr:to>
      <xdr:col>7</xdr:col>
      <xdr:colOff>317500</xdr:colOff>
      <xdr:row>13</xdr:row>
      <xdr:rowOff>190500</xdr:rowOff>
    </xdr:to>
    <xdr:sp macro="" textlink="">
      <xdr:nvSpPr>
        <xdr:cNvPr id="5125" name="CommandButton1" hidden="1">
          <a:extLst>
            <a:ext uri="{63B3BB69-23CF-44E3-9099-C40C66FF867C}">
              <a14:compatExt xmlns:a14="http://schemas.microsoft.com/office/drawing/2010/main" spid="_x0000_s5125"/>
            </a:ext>
            <a:ext uri="{FF2B5EF4-FFF2-40B4-BE49-F238E27FC236}">
              <a16:creationId xmlns:a16="http://schemas.microsoft.com/office/drawing/2014/main" id="{00000000-0008-0000-0000-000005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317500</xdr:colOff>
          <xdr:row>12</xdr:row>
          <xdr:rowOff>31750</xdr:rowOff>
        </xdr:from>
        <xdr:to>
          <xdr:col>7</xdr:col>
          <xdr:colOff>298450</xdr:colOff>
          <xdr:row>13</xdr:row>
          <xdr:rowOff>171450</xdr:rowOff>
        </xdr:to>
        <xdr:sp macro="" textlink="">
          <xdr:nvSpPr>
            <xdr:cNvPr id="1026" name="ok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</xdr:row>
          <xdr:rowOff>184150</xdr:rowOff>
        </xdr:from>
        <xdr:to>
          <xdr:col>7</xdr:col>
          <xdr:colOff>571500</xdr:colOff>
          <xdr:row>5</xdr:row>
          <xdr:rowOff>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</xdr:row>
          <xdr:rowOff>184150</xdr:rowOff>
        </xdr:from>
        <xdr:to>
          <xdr:col>7</xdr:col>
          <xdr:colOff>577850</xdr:colOff>
          <xdr:row>7</xdr:row>
          <xdr:rowOff>38100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</xdr:row>
          <xdr:rowOff>190500</xdr:rowOff>
        </xdr:from>
        <xdr:to>
          <xdr:col>7</xdr:col>
          <xdr:colOff>577850</xdr:colOff>
          <xdr:row>9</xdr:row>
          <xdr:rowOff>44450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9</xdr:row>
          <xdr:rowOff>196850</xdr:rowOff>
        </xdr:from>
        <xdr:to>
          <xdr:col>7</xdr:col>
          <xdr:colOff>571500</xdr:colOff>
          <xdr:row>11</xdr:row>
          <xdr:rowOff>50800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1016000</xdr:colOff>
          <xdr:row>1</xdr:row>
          <xdr:rowOff>31750</xdr:rowOff>
        </xdr:from>
        <xdr:to>
          <xdr:col>4</xdr:col>
          <xdr:colOff>304800</xdr:colOff>
          <xdr:row>2</xdr:row>
          <xdr:rowOff>44450</xdr:rowOff>
        </xdr:to>
        <xdr:sp macro="" textlink="">
          <xdr:nvSpPr>
            <xdr:cNvPr id="1031" name="choose_playe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12700</xdr:colOff>
      <xdr:row>15</xdr:row>
      <xdr:rowOff>25400</xdr:rowOff>
    </xdr:from>
    <xdr:to>
      <xdr:col>15</xdr:col>
      <xdr:colOff>1282700</xdr:colOff>
      <xdr:row>15</xdr:row>
      <xdr:rowOff>1257300</xdr:rowOff>
    </xdr:to>
    <xdr:sp macro="" textlink="">
      <xdr:nvSpPr>
        <xdr:cNvPr id="1025" name="start_button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29</xdr:col>
      <xdr:colOff>266700</xdr:colOff>
      <xdr:row>1</xdr:row>
      <xdr:rowOff>127000</xdr:rowOff>
    </xdr:from>
    <xdr:to>
      <xdr:col>29</xdr:col>
      <xdr:colOff>1841500</xdr:colOff>
      <xdr:row>5</xdr:row>
      <xdr:rowOff>50800</xdr:rowOff>
    </xdr:to>
    <xdr:sp macro="" textlink="">
      <xdr:nvSpPr>
        <xdr:cNvPr id="1026" name="TextBox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29</xdr:col>
      <xdr:colOff>25400</xdr:colOff>
      <xdr:row>6</xdr:row>
      <xdr:rowOff>203200</xdr:rowOff>
    </xdr:from>
    <xdr:to>
      <xdr:col>29</xdr:col>
      <xdr:colOff>1397000</xdr:colOff>
      <xdr:row>8</xdr:row>
      <xdr:rowOff>165100</xdr:rowOff>
    </xdr:to>
    <xdr:sp macro="" textlink="">
      <xdr:nvSpPr>
        <xdr:cNvPr id="1027" name="CommandButton1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30</xdr:col>
      <xdr:colOff>50800</xdr:colOff>
      <xdr:row>6</xdr:row>
      <xdr:rowOff>203200</xdr:rowOff>
    </xdr:from>
    <xdr:to>
      <xdr:col>30</xdr:col>
      <xdr:colOff>1447800</xdr:colOff>
      <xdr:row>8</xdr:row>
      <xdr:rowOff>152400</xdr:rowOff>
    </xdr:to>
    <xdr:sp macro="" textlink="">
      <xdr:nvSpPr>
        <xdr:cNvPr id="1028" name="CommandButton2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165100</xdr:colOff>
          <xdr:row>14</xdr:row>
          <xdr:rowOff>1270000</xdr:rowOff>
        </xdr:from>
        <xdr:to>
          <xdr:col>17</xdr:col>
          <xdr:colOff>69850</xdr:colOff>
          <xdr:row>15</xdr:row>
          <xdr:rowOff>1174750</xdr:rowOff>
        </xdr:to>
        <xdr:sp macro="" textlink="">
          <xdr:nvSpPr>
            <xdr:cNvPr id="2052" name="start_butt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730250</xdr:colOff>
      <xdr:row>12</xdr:row>
      <xdr:rowOff>330200</xdr:rowOff>
    </xdr:from>
    <xdr:to>
      <xdr:col>30</xdr:col>
      <xdr:colOff>1365250</xdr:colOff>
      <xdr:row>12</xdr:row>
      <xdr:rowOff>965200</xdr:rowOff>
    </xdr:to>
    <xdr:sp macro="" textlink="">
      <xdr:nvSpPr>
        <xdr:cNvPr id="19" name="等腰三角形 9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25006300" y="5080000"/>
          <a:ext cx="635000" cy="635000"/>
        </a:xfrm>
        <a:prstGeom prst="triangle">
          <a:avLst/>
        </a:prstGeom>
        <a:solidFill>
          <a:srgbClr val="F4BFBF"/>
        </a:solidFill>
        <a:ln w="38100" cap="flat" cmpd="sng" algn="ctr">
          <a:solidFill>
            <a:srgbClr val="F34774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30</xdr:col>
      <xdr:colOff>730250</xdr:colOff>
      <xdr:row>14</xdr:row>
      <xdr:rowOff>342900</xdr:rowOff>
    </xdr:from>
    <xdr:to>
      <xdr:col>30</xdr:col>
      <xdr:colOff>1365250</xdr:colOff>
      <xdr:row>14</xdr:row>
      <xdr:rowOff>977900</xdr:rowOff>
    </xdr:to>
    <xdr:sp macro="" textlink="">
      <xdr:nvSpPr>
        <xdr:cNvPr id="26" name="等腰三角形 10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5006300" y="7683500"/>
          <a:ext cx="635000" cy="635000"/>
        </a:xfrm>
        <a:prstGeom prst="triangle">
          <a:avLst/>
        </a:prstGeom>
        <a:solidFill>
          <a:srgbClr val="FFD9C0"/>
        </a:solidFill>
        <a:ln w="38100" cap="flat" cmpd="sng" algn="ctr">
          <a:solidFill>
            <a:srgbClr val="ED7D31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30</xdr:col>
      <xdr:colOff>730250</xdr:colOff>
      <xdr:row>16</xdr:row>
      <xdr:rowOff>355600</xdr:rowOff>
    </xdr:from>
    <xdr:to>
      <xdr:col>30</xdr:col>
      <xdr:colOff>1365250</xdr:colOff>
      <xdr:row>16</xdr:row>
      <xdr:rowOff>990600</xdr:rowOff>
    </xdr:to>
    <xdr:sp macro="" textlink="">
      <xdr:nvSpPr>
        <xdr:cNvPr id="27" name="等腰三角形 1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5006300" y="10287000"/>
          <a:ext cx="635000" cy="635000"/>
        </a:xfrm>
        <a:prstGeom prst="triangle">
          <a:avLst/>
        </a:prstGeom>
        <a:solidFill>
          <a:srgbClr val="FAF0D7"/>
        </a:solidFill>
        <a:ln w="38100" cap="flat" cmpd="sng" algn="ctr">
          <a:solidFill>
            <a:srgbClr val="FFC000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30</xdr:col>
      <xdr:colOff>730250</xdr:colOff>
      <xdr:row>18</xdr:row>
      <xdr:rowOff>368300</xdr:rowOff>
    </xdr:from>
    <xdr:to>
      <xdr:col>30</xdr:col>
      <xdr:colOff>1365250</xdr:colOff>
      <xdr:row>18</xdr:row>
      <xdr:rowOff>1003300</xdr:rowOff>
    </xdr:to>
    <xdr:sp macro="" textlink="">
      <xdr:nvSpPr>
        <xdr:cNvPr id="30" name="等腰三角形 12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25006300" y="12890500"/>
          <a:ext cx="635000" cy="635000"/>
        </a:xfrm>
        <a:prstGeom prst="triangle">
          <a:avLst/>
        </a:prstGeom>
        <a:solidFill>
          <a:srgbClr val="8CC0DE"/>
        </a:solidFill>
        <a:ln w="38100" cap="flat" cmpd="sng" algn="ctr">
          <a:solidFill>
            <a:srgbClr val="2F528F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1206500</xdr:colOff>
          <xdr:row>15</xdr:row>
          <xdr:rowOff>6350</xdr:rowOff>
        </xdr:from>
        <xdr:to>
          <xdr:col>14</xdr:col>
          <xdr:colOff>1073150</xdr:colOff>
          <xdr:row>15</xdr:row>
          <xdr:rowOff>1174750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228600</xdr:colOff>
      <xdr:row>15</xdr:row>
      <xdr:rowOff>736600</xdr:rowOff>
    </xdr:from>
    <xdr:to>
      <xdr:col>22</xdr:col>
      <xdr:colOff>228600</xdr:colOff>
      <xdr:row>15</xdr:row>
      <xdr:rowOff>1244600</xdr:rowOff>
    </xdr:to>
    <xdr:sp macro="" textlink="">
      <xdr:nvSpPr>
        <xdr:cNvPr id="2" name="pink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100800" y="9372600"/>
          <a:ext cx="508000" cy="508000"/>
        </a:xfrm>
        <a:prstGeom prst="triangle">
          <a:avLst/>
        </a:prstGeom>
        <a:solidFill>
          <a:srgbClr val="F4BFBF"/>
        </a:solidFill>
        <a:ln w="38100">
          <a:solidFill>
            <a:srgbClr val="F3477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20</xdr:col>
      <xdr:colOff>228600</xdr:colOff>
      <xdr:row>17</xdr:row>
      <xdr:rowOff>76200</xdr:rowOff>
    </xdr:from>
    <xdr:to>
      <xdr:col>22</xdr:col>
      <xdr:colOff>228600</xdr:colOff>
      <xdr:row>17</xdr:row>
      <xdr:rowOff>584200</xdr:rowOff>
    </xdr:to>
    <xdr:sp macro="" textlink="">
      <xdr:nvSpPr>
        <xdr:cNvPr id="3" name="orang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100800" y="11303000"/>
          <a:ext cx="508000" cy="508000"/>
        </a:xfrm>
        <a:prstGeom prst="triangle">
          <a:avLst/>
        </a:prstGeom>
        <a:solidFill>
          <a:srgbClr val="FFD9C0"/>
        </a:solidFill>
        <a:ln w="38100"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23</xdr:col>
      <xdr:colOff>0</xdr:colOff>
      <xdr:row>20</xdr:row>
      <xdr:rowOff>76200</xdr:rowOff>
    </xdr:from>
    <xdr:to>
      <xdr:col>25</xdr:col>
      <xdr:colOff>0</xdr:colOff>
      <xdr:row>22</xdr:row>
      <xdr:rowOff>152400</xdr:rowOff>
    </xdr:to>
    <xdr:sp macro="" textlink="">
      <xdr:nvSpPr>
        <xdr:cNvPr id="4" name="yello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9634200" y="15189200"/>
          <a:ext cx="508000" cy="508000"/>
        </a:xfrm>
        <a:prstGeom prst="triangle">
          <a:avLst/>
        </a:prstGeom>
        <a:solidFill>
          <a:srgbClr val="FAF0D7"/>
        </a:solidFill>
        <a:ln w="381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23</xdr:col>
      <xdr:colOff>0</xdr:colOff>
      <xdr:row>23</xdr:row>
      <xdr:rowOff>88900</xdr:rowOff>
    </xdr:from>
    <xdr:to>
      <xdr:col>25</xdr:col>
      <xdr:colOff>0</xdr:colOff>
      <xdr:row>25</xdr:row>
      <xdr:rowOff>165100</xdr:rowOff>
    </xdr:to>
    <xdr:sp macro="" textlink="">
      <xdr:nvSpPr>
        <xdr:cNvPr id="5" name="blu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9634200" y="15849600"/>
          <a:ext cx="508000" cy="508000"/>
        </a:xfrm>
        <a:prstGeom prst="triangle">
          <a:avLst/>
        </a:prstGeom>
        <a:solidFill>
          <a:srgbClr val="8CC0DE"/>
        </a:solidFill>
        <a:ln w="38100">
          <a:solidFill>
            <a:srgbClr val="2F52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5CD3F-FA4E-40B2-8AE0-7C5BF96DC11E}">
  <sheetPr codeName="工作表5"/>
  <dimension ref="A1:Q17"/>
  <sheetViews>
    <sheetView topLeftCell="B1" zoomScale="120" zoomScaleNormal="120" workbookViewId="0">
      <selection activeCell="G21" sqref="G21"/>
    </sheetView>
  </sheetViews>
  <sheetFormatPr defaultColWidth="8.6328125" defaultRowHeight="17.25" customHeight="1"/>
  <cols>
    <col min="1" max="3" width="14.6328125" customWidth="1"/>
    <col min="4" max="4" width="9.90625" bestFit="1" customWidth="1"/>
    <col min="5" max="5" width="8.6328125" customWidth="1"/>
    <col min="10" max="10" width="15.6328125" customWidth="1"/>
  </cols>
  <sheetData>
    <row r="1" spans="1:17" ht="20" customHeight="1">
      <c r="A1" s="37"/>
      <c r="B1" s="37"/>
      <c r="C1" s="37"/>
      <c r="D1" s="84" t="s">
        <v>174</v>
      </c>
      <c r="E1" s="84"/>
      <c r="F1" s="84"/>
      <c r="G1" s="84"/>
      <c r="H1" s="84"/>
      <c r="I1" s="84"/>
      <c r="J1" s="84"/>
      <c r="K1" s="37"/>
      <c r="L1" s="37"/>
      <c r="M1" s="37"/>
      <c r="N1" s="37"/>
      <c r="O1" s="37"/>
      <c r="P1" s="37"/>
      <c r="Q1" s="37"/>
    </row>
    <row r="2" spans="1:17" ht="20" customHeight="1">
      <c r="A2" s="37"/>
      <c r="B2" s="37"/>
      <c r="C2" s="37"/>
      <c r="D2" s="84"/>
      <c r="E2" s="84"/>
      <c r="F2" s="84"/>
      <c r="G2" s="84"/>
      <c r="H2" s="84"/>
      <c r="I2" s="84"/>
      <c r="J2" s="84"/>
      <c r="K2" s="37"/>
      <c r="L2" s="37"/>
      <c r="M2" s="37"/>
      <c r="N2" s="37"/>
      <c r="O2" s="37"/>
      <c r="P2" s="37"/>
      <c r="Q2" s="37"/>
    </row>
    <row r="3" spans="1:17" ht="20" customHeight="1">
      <c r="A3" s="37"/>
      <c r="B3" s="37"/>
      <c r="C3" s="37"/>
      <c r="D3" s="84"/>
      <c r="E3" s="84"/>
      <c r="F3" s="84"/>
      <c r="G3" s="84"/>
      <c r="H3" s="84"/>
      <c r="I3" s="84"/>
      <c r="J3" s="84"/>
      <c r="K3" s="37"/>
      <c r="L3" s="37"/>
      <c r="M3" s="37"/>
      <c r="N3" s="37"/>
      <c r="O3" s="37"/>
      <c r="P3" s="37"/>
      <c r="Q3" s="37"/>
    </row>
    <row r="4" spans="1:17" ht="20" customHeight="1">
      <c r="A4" s="37"/>
      <c r="B4" s="37"/>
      <c r="C4" s="38"/>
      <c r="D4" s="84"/>
      <c r="E4" s="84"/>
      <c r="F4" s="84"/>
      <c r="G4" s="84"/>
      <c r="H4" s="84"/>
      <c r="I4" s="84"/>
      <c r="J4" s="84"/>
      <c r="K4" s="38"/>
      <c r="L4" s="38"/>
      <c r="M4" s="37"/>
      <c r="N4" s="37"/>
      <c r="O4" s="37"/>
      <c r="P4" s="37"/>
      <c r="Q4" s="37"/>
    </row>
    <row r="5" spans="1:17" ht="17.25" customHeight="1">
      <c r="A5" s="37"/>
      <c r="B5" s="37"/>
      <c r="C5" s="38"/>
      <c r="D5" s="45" t="s">
        <v>0</v>
      </c>
      <c r="E5" s="38"/>
      <c r="F5" s="38"/>
      <c r="G5" s="38"/>
      <c r="H5" s="38"/>
      <c r="I5" s="38"/>
      <c r="J5" s="80" t="s">
        <v>176</v>
      </c>
      <c r="K5" s="38"/>
      <c r="L5" s="38"/>
      <c r="M5" s="37"/>
      <c r="N5" s="37"/>
      <c r="O5" s="37"/>
      <c r="P5" s="37"/>
      <c r="Q5" s="37"/>
    </row>
    <row r="6" spans="1:17" ht="17.25" customHeight="1">
      <c r="A6" s="37"/>
      <c r="B6" s="37"/>
      <c r="C6" s="38"/>
      <c r="D6" s="46"/>
      <c r="E6" s="38"/>
      <c r="F6" s="38"/>
      <c r="G6" s="38"/>
      <c r="H6" s="38"/>
      <c r="I6" s="38"/>
      <c r="J6" s="47"/>
      <c r="K6" s="38"/>
      <c r="L6" s="38"/>
      <c r="M6" s="37"/>
      <c r="N6" s="37"/>
      <c r="O6" s="37"/>
      <c r="P6" s="37"/>
      <c r="Q6" s="37"/>
    </row>
    <row r="7" spans="1:17" ht="17.25" customHeight="1">
      <c r="A7" s="37"/>
      <c r="B7" s="37"/>
      <c r="C7" s="38"/>
      <c r="D7" s="45" t="s">
        <v>1</v>
      </c>
      <c r="E7" s="38"/>
      <c r="F7" s="38"/>
      <c r="G7" s="38"/>
      <c r="H7" s="38"/>
      <c r="I7" s="38"/>
      <c r="J7" s="81" t="s">
        <v>179</v>
      </c>
      <c r="K7" s="38"/>
      <c r="L7" s="38"/>
      <c r="M7" s="37"/>
      <c r="N7" s="37"/>
      <c r="O7" s="37"/>
      <c r="P7" s="37"/>
      <c r="Q7" s="37"/>
    </row>
    <row r="8" spans="1:17" ht="17.25" customHeight="1">
      <c r="A8" s="37"/>
      <c r="B8" s="37"/>
      <c r="C8" s="38"/>
      <c r="D8" s="46"/>
      <c r="E8" s="38"/>
      <c r="F8" s="38"/>
      <c r="G8" s="38"/>
      <c r="H8" s="38"/>
      <c r="I8" s="38"/>
      <c r="J8" s="47"/>
      <c r="K8" s="38"/>
      <c r="L8" s="38"/>
      <c r="M8" s="37"/>
      <c r="N8" s="37"/>
      <c r="O8" s="37"/>
      <c r="P8" s="37"/>
      <c r="Q8" s="37"/>
    </row>
    <row r="9" spans="1:17" ht="17.25" customHeight="1">
      <c r="A9" s="37"/>
      <c r="B9" s="37"/>
      <c r="C9" s="38"/>
      <c r="D9" s="45" t="s">
        <v>2</v>
      </c>
      <c r="E9" s="38"/>
      <c r="F9" s="38"/>
      <c r="G9" s="38"/>
      <c r="H9" s="38"/>
      <c r="I9" s="38"/>
      <c r="J9" s="82" t="s">
        <v>177</v>
      </c>
      <c r="K9" s="38"/>
      <c r="L9" s="38"/>
      <c r="M9" s="37"/>
      <c r="N9" s="37"/>
      <c r="O9" s="37"/>
      <c r="P9" s="37"/>
      <c r="Q9" s="37"/>
    </row>
    <row r="10" spans="1:17" ht="17.25" customHeight="1">
      <c r="A10" s="37"/>
      <c r="B10" s="37"/>
      <c r="C10" s="38"/>
      <c r="D10" s="46"/>
      <c r="E10" s="38"/>
      <c r="F10" s="38"/>
      <c r="G10" s="38"/>
      <c r="H10" s="38"/>
      <c r="I10" s="38"/>
      <c r="J10" s="47"/>
      <c r="K10" s="38"/>
      <c r="L10" s="38"/>
      <c r="M10" s="37"/>
      <c r="N10" s="37"/>
      <c r="O10" s="37"/>
      <c r="P10" s="37"/>
      <c r="Q10" s="37"/>
    </row>
    <row r="11" spans="1:17" ht="17.25" customHeight="1">
      <c r="A11" s="37"/>
      <c r="B11" s="37"/>
      <c r="C11" s="38"/>
      <c r="D11" s="45" t="s">
        <v>3</v>
      </c>
      <c r="E11" s="38"/>
      <c r="F11" s="38"/>
      <c r="G11" s="38"/>
      <c r="H11" s="38"/>
      <c r="I11" s="38"/>
      <c r="J11" s="83" t="s">
        <v>181</v>
      </c>
      <c r="K11" s="38"/>
      <c r="L11" s="38"/>
      <c r="M11" s="37"/>
      <c r="N11" s="37"/>
      <c r="O11" s="37"/>
      <c r="P11" s="37"/>
      <c r="Q11" s="37"/>
    </row>
    <row r="12" spans="1:17" ht="17.25" customHeight="1">
      <c r="A12" s="37"/>
      <c r="B12" s="37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7"/>
      <c r="N12" s="37"/>
      <c r="O12" s="37"/>
      <c r="P12" s="37"/>
      <c r="Q12" s="37"/>
    </row>
    <row r="13" spans="1:17" ht="17.25" customHeight="1">
      <c r="A13" s="37"/>
      <c r="B13" s="3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7"/>
      <c r="N13" s="37"/>
      <c r="O13" s="37"/>
      <c r="P13" s="37"/>
      <c r="Q13" s="37"/>
    </row>
    <row r="14" spans="1:17" ht="17.25" customHeight="1">
      <c r="A14" s="37"/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7"/>
      <c r="N14" s="37"/>
      <c r="O14" s="37"/>
      <c r="P14" s="37"/>
      <c r="Q14" s="37"/>
    </row>
    <row r="15" spans="1:17" ht="17.25" customHeight="1">
      <c r="A15" s="37"/>
      <c r="B15" s="37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7"/>
      <c r="N15" s="37"/>
      <c r="O15" s="37"/>
      <c r="P15" s="37"/>
      <c r="Q15" s="37"/>
    </row>
    <row r="16" spans="1:17" ht="17.25" customHeight="1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</row>
    <row r="17" spans="1:17" ht="17.25" customHeight="1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</row>
  </sheetData>
  <mergeCells count="1">
    <mergeCell ref="D1:J4"/>
  </mergeCells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nkedCell="選擇角色顏色!J11" listFillRange="遊戲狀態log!Z2:Z5" r:id="rId5">
            <anchor moveWithCells="1">
              <from>
                <xdr:col>5</xdr:col>
                <xdr:colOff>31750</xdr:colOff>
                <xdr:row>9</xdr:row>
                <xdr:rowOff>196850</xdr:rowOff>
              </from>
              <to>
                <xdr:col>7</xdr:col>
                <xdr:colOff>571500</xdr:colOff>
                <xdr:row>11</xdr:row>
                <xdr:rowOff>50800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nkedCell="選擇角色顏色!J9" listFillRange="遊戲狀態log!X2:X5" r:id="rId7">
            <anchor moveWithCells="1">
              <from>
                <xdr:col>5</xdr:col>
                <xdr:colOff>38100</xdr:colOff>
                <xdr:row>7</xdr:row>
                <xdr:rowOff>190500</xdr:rowOff>
              </from>
              <to>
                <xdr:col>7</xdr:col>
                <xdr:colOff>577850</xdr:colOff>
                <xdr:row>9</xdr:row>
                <xdr:rowOff>44450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nkedCell="選擇角色顏色!J7" listFillRange="遊戲狀態log!V2:V5" r:id="rId9">
            <anchor moveWithCells="1">
              <from>
                <xdr:col>5</xdr:col>
                <xdr:colOff>38100</xdr:colOff>
                <xdr:row>5</xdr:row>
                <xdr:rowOff>184150</xdr:rowOff>
              </from>
              <to>
                <xdr:col>7</xdr:col>
                <xdr:colOff>577850</xdr:colOff>
                <xdr:row>7</xdr:row>
                <xdr:rowOff>38100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autoPict="0" linkedCell="選擇角色顏色!J5" listFillRange="遊戲狀態log!T2:T5" r:id="rId11">
            <anchor moveWithCells="1">
              <from>
                <xdr:col>5</xdr:col>
                <xdr:colOff>38100</xdr:colOff>
                <xdr:row>3</xdr:row>
                <xdr:rowOff>184150</xdr:rowOff>
              </from>
              <to>
                <xdr:col>7</xdr:col>
                <xdr:colOff>571500</xdr:colOff>
                <xdr:row>5</xdr:row>
                <xdr:rowOff>0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26" r:id="rId12" name="ok_button">
          <controlPr defaultSize="0" autoLine="0" r:id="rId13">
            <anchor moveWithCells="1">
              <from>
                <xdr:col>5</xdr:col>
                <xdr:colOff>317500</xdr:colOff>
                <xdr:row>12</xdr:row>
                <xdr:rowOff>31750</xdr:rowOff>
              </from>
              <to>
                <xdr:col>7</xdr:col>
                <xdr:colOff>298450</xdr:colOff>
                <xdr:row>13</xdr:row>
                <xdr:rowOff>171450</xdr:rowOff>
              </to>
            </anchor>
          </controlPr>
        </control>
      </mc:Choice>
      <mc:Fallback>
        <control shapeId="1026" r:id="rId12" name="ok_button"/>
      </mc:Fallback>
    </mc:AlternateContent>
    <mc:AlternateContent xmlns:mc="http://schemas.openxmlformats.org/markup-compatibility/2006">
      <mc:Choice Requires="x14">
        <control shapeId="1031" r:id="rId14" name="choose_player">
          <controlPr defaultSize="0" autoLine="0" r:id="rId15">
            <anchor moveWithCells="1">
              <from>
                <xdr:col>2</xdr:col>
                <xdr:colOff>1016000</xdr:colOff>
                <xdr:row>1</xdr:row>
                <xdr:rowOff>31750</xdr:rowOff>
              </from>
              <to>
                <xdr:col>4</xdr:col>
                <xdr:colOff>304800</xdr:colOff>
                <xdr:row>2</xdr:row>
                <xdr:rowOff>44450</xdr:rowOff>
              </to>
            </anchor>
          </controlPr>
        </control>
      </mc:Choice>
      <mc:Fallback>
        <control shapeId="1031" r:id="rId14" name="choose_play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4B21C-091F-4BBD-9938-4B9ABB9B6BF6}">
  <sheetPr codeName="工作表1"/>
  <dimension ref="E4:AK75"/>
  <sheetViews>
    <sheetView tabSelected="1" topLeftCell="B3" zoomScale="30" zoomScaleNormal="31" workbookViewId="0">
      <selection activeCell="AC8" sqref="AC8"/>
    </sheetView>
  </sheetViews>
  <sheetFormatPr defaultColWidth="8.6328125" defaultRowHeight="17.25" customHeight="1"/>
  <cols>
    <col min="1" max="2" width="15.453125" style="1" customWidth="1"/>
    <col min="3" max="3" width="15.6328125" style="1" customWidth="1"/>
    <col min="4" max="4" width="15.453125" style="1" customWidth="1"/>
    <col min="5" max="10" width="3.6328125" style="1" customWidth="1"/>
    <col min="11" max="20" width="18.6328125" style="1" customWidth="1"/>
    <col min="21" max="26" width="3.6328125" style="1" customWidth="1"/>
    <col min="27" max="29" width="8.6328125" style="1"/>
    <col min="30" max="37" width="29.6328125" style="1" bestFit="1" customWidth="1"/>
    <col min="38" max="16384" width="8.6328125" style="1"/>
  </cols>
  <sheetData>
    <row r="4" spans="5:37" ht="17.25" customHeight="1" thickBot="1"/>
    <row r="5" spans="5:37" ht="17.25" customHeight="1">
      <c r="E5" s="130" t="s">
        <v>4</v>
      </c>
      <c r="F5" s="131"/>
      <c r="G5" s="131"/>
      <c r="H5" s="131"/>
      <c r="I5" s="131"/>
      <c r="J5" s="132"/>
      <c r="K5" s="119" t="s">
        <v>170</v>
      </c>
      <c r="L5" s="116" t="s">
        <v>6</v>
      </c>
      <c r="M5" s="85" t="s">
        <v>7</v>
      </c>
      <c r="N5" s="116" t="s">
        <v>8</v>
      </c>
      <c r="O5" s="119" t="s">
        <v>171</v>
      </c>
      <c r="P5" s="120" t="s">
        <v>172</v>
      </c>
      <c r="Q5" s="85" t="s">
        <v>11</v>
      </c>
      <c r="R5" s="123" t="s">
        <v>12</v>
      </c>
      <c r="S5" s="123" t="s">
        <v>13</v>
      </c>
      <c r="T5" s="123" t="s">
        <v>14</v>
      </c>
      <c r="U5" s="104" t="s">
        <v>15</v>
      </c>
      <c r="V5" s="105"/>
      <c r="W5" s="105"/>
      <c r="X5" s="105"/>
      <c r="Y5" s="105"/>
      <c r="Z5" s="106"/>
    </row>
    <row r="6" spans="5:37" ht="17.25" customHeight="1">
      <c r="E6" s="133"/>
      <c r="F6" s="134"/>
      <c r="G6" s="134"/>
      <c r="H6" s="134"/>
      <c r="I6" s="134"/>
      <c r="J6" s="135"/>
      <c r="K6" s="117"/>
      <c r="L6" s="117"/>
      <c r="M6" s="86"/>
      <c r="N6" s="117"/>
      <c r="O6" s="117"/>
      <c r="P6" s="121"/>
      <c r="Q6" s="86"/>
      <c r="R6" s="121"/>
      <c r="S6" s="121"/>
      <c r="T6" s="121"/>
      <c r="U6" s="107"/>
      <c r="V6" s="108"/>
      <c r="W6" s="108"/>
      <c r="X6" s="108"/>
      <c r="Y6" s="108"/>
      <c r="Z6" s="109"/>
    </row>
    <row r="7" spans="5:37" ht="17.25" customHeight="1">
      <c r="E7" s="133"/>
      <c r="F7" s="134"/>
      <c r="G7" s="134"/>
      <c r="H7" s="134"/>
      <c r="I7" s="134"/>
      <c r="J7" s="135"/>
      <c r="K7" s="117"/>
      <c r="L7" s="117"/>
      <c r="M7" s="86"/>
      <c r="N7" s="117"/>
      <c r="O7" s="117"/>
      <c r="P7" s="121"/>
      <c r="Q7" s="86"/>
      <c r="R7" s="121"/>
      <c r="S7" s="121"/>
      <c r="T7" s="121"/>
      <c r="U7" s="107"/>
      <c r="V7" s="108"/>
      <c r="W7" s="108"/>
      <c r="X7" s="108"/>
      <c r="Y7" s="108"/>
      <c r="Z7" s="109"/>
    </row>
    <row r="8" spans="5:37" ht="17.25" customHeight="1">
      <c r="E8" s="133"/>
      <c r="F8" s="134"/>
      <c r="G8" s="134"/>
      <c r="H8" s="134"/>
      <c r="I8" s="134"/>
      <c r="J8" s="135"/>
      <c r="K8" s="117"/>
      <c r="L8" s="117"/>
      <c r="M8" s="86"/>
      <c r="N8" s="117"/>
      <c r="O8" s="117"/>
      <c r="P8" s="121"/>
      <c r="Q8" s="86"/>
      <c r="R8" s="121"/>
      <c r="S8" s="121"/>
      <c r="T8" s="121"/>
      <c r="U8" s="107"/>
      <c r="V8" s="108"/>
      <c r="W8" s="108"/>
      <c r="X8" s="108"/>
      <c r="Y8" s="108"/>
      <c r="Z8" s="109"/>
    </row>
    <row r="9" spans="5:37" ht="17.25" customHeight="1" thickBot="1">
      <c r="E9" s="133"/>
      <c r="F9" s="134"/>
      <c r="G9" s="134"/>
      <c r="H9" s="134"/>
      <c r="I9" s="134"/>
      <c r="J9" s="135"/>
      <c r="K9" s="118"/>
      <c r="L9" s="118"/>
      <c r="M9" s="86"/>
      <c r="N9" s="118"/>
      <c r="O9" s="118"/>
      <c r="P9" s="122"/>
      <c r="Q9" s="86"/>
      <c r="R9" s="122"/>
      <c r="S9" s="122"/>
      <c r="T9" s="122"/>
      <c r="U9" s="107"/>
      <c r="V9" s="108"/>
      <c r="W9" s="108"/>
      <c r="X9" s="108"/>
      <c r="Y9" s="108"/>
      <c r="Z9" s="109"/>
    </row>
    <row r="10" spans="5:37" ht="17.25" customHeight="1" thickBot="1">
      <c r="E10" s="136"/>
      <c r="F10" s="137"/>
      <c r="G10" s="137"/>
      <c r="H10" s="137"/>
      <c r="I10" s="137"/>
      <c r="J10" s="138"/>
      <c r="K10" s="3">
        <v>1200</v>
      </c>
      <c r="L10" s="3">
        <v>900</v>
      </c>
      <c r="M10" s="87"/>
      <c r="N10" s="3">
        <v>700</v>
      </c>
      <c r="O10" s="3">
        <v>1700</v>
      </c>
      <c r="P10" s="4">
        <v>1400</v>
      </c>
      <c r="Q10" s="87"/>
      <c r="R10" s="4">
        <v>1200</v>
      </c>
      <c r="S10" s="3">
        <v>1400</v>
      </c>
      <c r="T10" s="5">
        <v>800</v>
      </c>
      <c r="U10" s="110"/>
      <c r="V10" s="111"/>
      <c r="W10" s="111"/>
      <c r="X10" s="111"/>
      <c r="Y10" s="111"/>
      <c r="Z10" s="112"/>
    </row>
    <row r="11" spans="5:37" ht="102" customHeight="1" thickBot="1">
      <c r="E11" s="152" t="s">
        <v>16</v>
      </c>
      <c r="F11" s="153"/>
      <c r="G11" s="153"/>
      <c r="H11" s="153"/>
      <c r="I11" s="154"/>
      <c r="J11" s="6">
        <v>1000</v>
      </c>
      <c r="K11" s="8"/>
      <c r="L11" s="9"/>
      <c r="M11" s="9"/>
      <c r="N11" s="9"/>
      <c r="O11" s="9"/>
      <c r="P11" s="9"/>
      <c r="Q11" s="10"/>
      <c r="R11" s="9"/>
      <c r="S11" s="9"/>
      <c r="T11" s="11"/>
      <c r="U11" s="7">
        <v>1500</v>
      </c>
      <c r="V11" s="124" t="s">
        <v>17</v>
      </c>
      <c r="W11" s="125"/>
      <c r="X11" s="125"/>
      <c r="Y11" s="125"/>
      <c r="Z11" s="126"/>
    </row>
    <row r="12" spans="5:37" ht="102" customHeight="1" thickBot="1">
      <c r="E12" s="152" t="s">
        <v>22</v>
      </c>
      <c r="F12" s="153"/>
      <c r="G12" s="153"/>
      <c r="H12" s="153"/>
      <c r="I12" s="154"/>
      <c r="J12" s="6">
        <v>2000</v>
      </c>
      <c r="K12" s="12"/>
      <c r="L12" s="141" t="s">
        <v>11</v>
      </c>
      <c r="M12" s="142"/>
      <c r="N12" s="10"/>
      <c r="O12" s="10"/>
      <c r="P12" s="10"/>
      <c r="Q12" s="88" t="s">
        <v>118</v>
      </c>
      <c r="R12" s="89"/>
      <c r="S12" s="90"/>
      <c r="T12" s="13"/>
      <c r="U12" s="7">
        <v>2000</v>
      </c>
      <c r="V12" s="124" t="s">
        <v>23</v>
      </c>
      <c r="W12" s="125"/>
      <c r="X12" s="125"/>
      <c r="Y12" s="125"/>
      <c r="Z12" s="126"/>
      <c r="AD12" s="69" t="s">
        <v>18</v>
      </c>
      <c r="AE12" s="70" t="s">
        <v>19</v>
      </c>
      <c r="AF12" s="70" t="s">
        <v>20</v>
      </c>
      <c r="AG12" s="70" t="s">
        <v>167</v>
      </c>
      <c r="AH12" s="70" t="s">
        <v>21</v>
      </c>
      <c r="AI12" s="70"/>
      <c r="AJ12" s="70"/>
      <c r="AK12" s="71"/>
    </row>
    <row r="13" spans="5:37" ht="102" customHeight="1" thickBot="1">
      <c r="E13" s="127" t="s">
        <v>11</v>
      </c>
      <c r="F13" s="128"/>
      <c r="G13" s="128"/>
      <c r="H13" s="128"/>
      <c r="I13" s="128"/>
      <c r="J13" s="129"/>
      <c r="K13" s="12"/>
      <c r="L13" s="10"/>
      <c r="M13" s="10"/>
      <c r="N13" s="14"/>
      <c r="O13" s="10"/>
      <c r="P13" s="14"/>
      <c r="Q13" s="10"/>
      <c r="R13" s="10"/>
      <c r="S13" s="10"/>
      <c r="T13" s="13"/>
      <c r="U13" s="7">
        <v>1700</v>
      </c>
      <c r="V13" s="124" t="s">
        <v>24</v>
      </c>
      <c r="W13" s="125"/>
      <c r="X13" s="125"/>
      <c r="Y13" s="125"/>
      <c r="Z13" s="126"/>
      <c r="AD13" s="72" t="s">
        <v>25</v>
      </c>
      <c r="AE13" s="73"/>
      <c r="AF13" s="73">
        <v>3000</v>
      </c>
      <c r="AG13" s="73">
        <v>0</v>
      </c>
      <c r="AH13" s="73" t="s">
        <v>32</v>
      </c>
      <c r="AI13" s="73"/>
      <c r="AJ13" s="73"/>
      <c r="AK13" s="74"/>
    </row>
    <row r="14" spans="5:37" ht="102" customHeight="1" thickBot="1">
      <c r="E14" s="152" t="s">
        <v>26</v>
      </c>
      <c r="F14" s="153"/>
      <c r="G14" s="153"/>
      <c r="H14" s="153"/>
      <c r="I14" s="154"/>
      <c r="J14" s="6">
        <v>1800</v>
      </c>
      <c r="K14" s="12"/>
      <c r="L14" s="10"/>
      <c r="M14" s="10"/>
      <c r="N14" s="10"/>
      <c r="O14" s="10"/>
      <c r="P14" s="10"/>
      <c r="Q14" s="10"/>
      <c r="R14" s="10"/>
      <c r="S14" s="10"/>
      <c r="T14" s="13"/>
      <c r="U14" s="101" t="s">
        <v>11</v>
      </c>
      <c r="V14" s="102"/>
      <c r="W14" s="102"/>
      <c r="X14" s="102"/>
      <c r="Y14" s="102"/>
      <c r="Z14" s="103"/>
      <c r="AD14" s="54"/>
      <c r="AE14" s="55"/>
      <c r="AF14" s="53"/>
      <c r="AG14" s="56"/>
      <c r="AH14" s="57"/>
      <c r="AI14" s="58"/>
      <c r="AJ14" s="59"/>
      <c r="AK14" s="60"/>
    </row>
    <row r="15" spans="5:37" ht="102" customHeight="1" thickBot="1">
      <c r="E15" s="152" t="s">
        <v>27</v>
      </c>
      <c r="F15" s="153"/>
      <c r="G15" s="153"/>
      <c r="H15" s="153"/>
      <c r="I15" s="154"/>
      <c r="J15" s="6">
        <v>1000</v>
      </c>
      <c r="K15" s="12"/>
      <c r="L15" s="10"/>
      <c r="M15" s="139" t="s">
        <v>28</v>
      </c>
      <c r="N15" s="140"/>
      <c r="O15" s="140"/>
      <c r="P15" s="140"/>
      <c r="Q15" s="140"/>
      <c r="R15" s="140"/>
      <c r="S15" s="10"/>
      <c r="T15" s="13"/>
      <c r="U15" s="7">
        <v>700</v>
      </c>
      <c r="V15" s="124" t="s">
        <v>29</v>
      </c>
      <c r="W15" s="125"/>
      <c r="X15" s="125"/>
      <c r="Y15" s="125"/>
      <c r="Z15" s="126"/>
      <c r="AD15" s="75" t="s">
        <v>30</v>
      </c>
      <c r="AE15" s="76"/>
      <c r="AF15" s="76">
        <v>3500</v>
      </c>
      <c r="AG15" s="76">
        <v>0</v>
      </c>
      <c r="AH15" s="76" t="s">
        <v>7</v>
      </c>
      <c r="AI15" s="76"/>
      <c r="AJ15" s="76"/>
      <c r="AK15" s="77"/>
    </row>
    <row r="16" spans="5:37" ht="102" customHeight="1" thickBot="1">
      <c r="E16" s="151" t="s">
        <v>31</v>
      </c>
      <c r="F16" s="149"/>
      <c r="G16" s="149"/>
      <c r="H16" s="149"/>
      <c r="I16" s="150"/>
      <c r="J16" s="6">
        <v>600</v>
      </c>
      <c r="K16" s="12"/>
      <c r="L16" s="10"/>
      <c r="M16" s="10"/>
      <c r="N16" s="10"/>
      <c r="O16" s="10"/>
      <c r="P16" s="10"/>
      <c r="Q16" s="10"/>
      <c r="R16" s="10"/>
      <c r="S16" s="10"/>
      <c r="T16" s="13"/>
      <c r="U16" s="7">
        <v>800</v>
      </c>
      <c r="V16" s="155" t="s">
        <v>32</v>
      </c>
      <c r="W16" s="156"/>
      <c r="X16" s="156"/>
      <c r="Y16" s="156"/>
      <c r="Z16" s="157"/>
      <c r="AD16" s="54"/>
      <c r="AE16" s="55"/>
      <c r="AF16" s="53"/>
      <c r="AG16" s="56"/>
      <c r="AH16" s="57"/>
      <c r="AI16" s="58"/>
      <c r="AJ16" s="59"/>
      <c r="AK16" s="60"/>
    </row>
    <row r="17" spans="5:37" ht="102" customHeight="1" thickBot="1">
      <c r="E17" s="127" t="s">
        <v>7</v>
      </c>
      <c r="F17" s="128"/>
      <c r="G17" s="128"/>
      <c r="H17" s="128"/>
      <c r="I17" s="128"/>
      <c r="J17" s="129"/>
      <c r="K17" s="12"/>
      <c r="L17" s="10"/>
      <c r="M17" s="10"/>
      <c r="N17" s="10"/>
      <c r="O17" s="10"/>
      <c r="P17" s="10"/>
      <c r="Q17" s="10"/>
      <c r="R17" s="10"/>
      <c r="S17" s="10"/>
      <c r="T17" s="13"/>
      <c r="U17" s="7">
        <v>2000</v>
      </c>
      <c r="V17" s="155" t="s">
        <v>34</v>
      </c>
      <c r="W17" s="156"/>
      <c r="X17" s="156"/>
      <c r="Y17" s="156"/>
      <c r="Z17" s="157"/>
      <c r="AD17" s="78" t="s">
        <v>35</v>
      </c>
      <c r="AE17" s="76"/>
      <c r="AF17" s="76">
        <v>3000</v>
      </c>
      <c r="AG17" s="76">
        <v>0</v>
      </c>
      <c r="AH17" s="76" t="s">
        <v>173</v>
      </c>
      <c r="AI17" s="76"/>
      <c r="AJ17" s="76"/>
      <c r="AK17" s="77"/>
    </row>
    <row r="18" spans="5:37" ht="102" customHeight="1" thickBot="1">
      <c r="E18" s="151" t="s">
        <v>36</v>
      </c>
      <c r="F18" s="149"/>
      <c r="G18" s="149"/>
      <c r="H18" s="149"/>
      <c r="I18" s="150"/>
      <c r="J18" s="6">
        <v>1300</v>
      </c>
      <c r="K18" s="12"/>
      <c r="L18" s="10"/>
      <c r="M18" s="10"/>
      <c r="N18" s="10"/>
      <c r="O18" s="10"/>
      <c r="P18" s="10"/>
      <c r="Q18" s="10"/>
      <c r="R18" s="10"/>
      <c r="S18" s="10"/>
      <c r="T18" s="13"/>
      <c r="U18" s="101" t="s">
        <v>7</v>
      </c>
      <c r="V18" s="102"/>
      <c r="W18" s="102"/>
      <c r="X18" s="102"/>
      <c r="Y18" s="102"/>
      <c r="Z18" s="103"/>
      <c r="AD18" s="54"/>
      <c r="AE18" s="55"/>
      <c r="AF18" s="53"/>
      <c r="AG18" s="56"/>
      <c r="AH18" s="57"/>
      <c r="AI18" s="58"/>
      <c r="AJ18" s="59"/>
      <c r="AK18" s="60"/>
    </row>
    <row r="19" spans="5:37" ht="102" customHeight="1" thickBot="1">
      <c r="E19" s="151" t="s">
        <v>37</v>
      </c>
      <c r="F19" s="149"/>
      <c r="G19" s="149"/>
      <c r="H19" s="149"/>
      <c r="I19" s="150"/>
      <c r="J19" s="6">
        <v>700</v>
      </c>
      <c r="K19" s="12"/>
      <c r="L19" s="10"/>
      <c r="M19" s="10"/>
      <c r="N19" s="10"/>
      <c r="O19" s="10"/>
      <c r="P19" s="10"/>
      <c r="Q19" s="10"/>
      <c r="R19" s="143" t="s">
        <v>7</v>
      </c>
      <c r="S19" s="144"/>
      <c r="T19" s="13"/>
      <c r="U19" s="7">
        <v>1200</v>
      </c>
      <c r="V19" s="155" t="s">
        <v>38</v>
      </c>
      <c r="W19" s="156"/>
      <c r="X19" s="156"/>
      <c r="Y19" s="156"/>
      <c r="Z19" s="157"/>
      <c r="AD19" s="79" t="s">
        <v>39</v>
      </c>
      <c r="AE19" s="76"/>
      <c r="AF19" s="76">
        <v>3000</v>
      </c>
      <c r="AG19" s="76">
        <v>0</v>
      </c>
      <c r="AH19" s="76" t="s">
        <v>173</v>
      </c>
      <c r="AI19" s="76"/>
      <c r="AJ19" s="76"/>
      <c r="AK19" s="77"/>
    </row>
    <row r="20" spans="5:37" ht="102" customHeight="1" thickBot="1">
      <c r="E20" s="148" t="s">
        <v>169</v>
      </c>
      <c r="F20" s="149"/>
      <c r="G20" s="149"/>
      <c r="H20" s="149"/>
      <c r="I20" s="150"/>
      <c r="J20" s="6">
        <v>1000</v>
      </c>
      <c r="K20" s="15"/>
      <c r="L20" s="16"/>
      <c r="M20" s="16"/>
      <c r="N20" s="16"/>
      <c r="O20" s="16"/>
      <c r="P20" s="16"/>
      <c r="Q20" s="16"/>
      <c r="R20" s="16"/>
      <c r="S20" s="16"/>
      <c r="T20" s="17"/>
      <c r="U20" s="7">
        <v>800</v>
      </c>
      <c r="V20" s="155" t="s">
        <v>41</v>
      </c>
      <c r="W20" s="156"/>
      <c r="X20" s="156"/>
      <c r="Y20" s="156"/>
      <c r="Z20" s="157"/>
      <c r="AD20" s="61"/>
      <c r="AE20" s="62"/>
      <c r="AF20" s="63"/>
      <c r="AG20" s="64"/>
      <c r="AH20" s="65"/>
      <c r="AI20" s="66"/>
      <c r="AJ20" s="67"/>
      <c r="AK20" s="68"/>
    </row>
    <row r="21" spans="5:37" ht="17.25" customHeight="1" thickBot="1">
      <c r="E21" s="104" t="s">
        <v>15</v>
      </c>
      <c r="F21" s="105"/>
      <c r="G21" s="105"/>
      <c r="H21" s="105"/>
      <c r="I21" s="105"/>
      <c r="J21" s="106"/>
      <c r="K21" s="3">
        <v>1300</v>
      </c>
      <c r="L21" s="3">
        <v>2000</v>
      </c>
      <c r="M21" s="85" t="s">
        <v>11</v>
      </c>
      <c r="N21" s="3">
        <v>1800</v>
      </c>
      <c r="O21" s="3">
        <v>1600</v>
      </c>
      <c r="P21" s="3">
        <v>700</v>
      </c>
      <c r="Q21" s="85" t="s">
        <v>7</v>
      </c>
      <c r="R21" s="3">
        <v>1100</v>
      </c>
      <c r="S21" s="3">
        <v>900</v>
      </c>
      <c r="T21" s="3">
        <v>500</v>
      </c>
      <c r="U21" s="92" t="s">
        <v>42</v>
      </c>
      <c r="V21" s="93"/>
      <c r="W21" s="93"/>
      <c r="X21" s="93"/>
      <c r="Y21" s="93"/>
      <c r="Z21" s="94"/>
    </row>
    <row r="22" spans="5:37" ht="17.25" customHeight="1">
      <c r="E22" s="107"/>
      <c r="F22" s="108"/>
      <c r="G22" s="108"/>
      <c r="H22" s="108"/>
      <c r="I22" s="108"/>
      <c r="J22" s="109"/>
      <c r="K22" s="145" t="s">
        <v>43</v>
      </c>
      <c r="L22" s="145" t="s">
        <v>44</v>
      </c>
      <c r="M22" s="86"/>
      <c r="N22" s="145" t="s">
        <v>45</v>
      </c>
      <c r="O22" s="145" t="s">
        <v>46</v>
      </c>
      <c r="P22" s="113" t="s">
        <v>47</v>
      </c>
      <c r="Q22" s="86"/>
      <c r="R22" s="113" t="s">
        <v>48</v>
      </c>
      <c r="S22" s="113" t="s">
        <v>49</v>
      </c>
      <c r="T22" s="113" t="s">
        <v>50</v>
      </c>
      <c r="U22" s="95"/>
      <c r="V22" s="96"/>
      <c r="W22" s="96"/>
      <c r="X22" s="96"/>
      <c r="Y22" s="96"/>
      <c r="Z22" s="97"/>
    </row>
    <row r="23" spans="5:37" ht="17.25" customHeight="1">
      <c r="E23" s="107"/>
      <c r="F23" s="108"/>
      <c r="G23" s="108"/>
      <c r="H23" s="108"/>
      <c r="I23" s="108"/>
      <c r="J23" s="109"/>
      <c r="K23" s="146"/>
      <c r="L23" s="146"/>
      <c r="M23" s="86"/>
      <c r="N23" s="146"/>
      <c r="O23" s="146"/>
      <c r="P23" s="114"/>
      <c r="Q23" s="86"/>
      <c r="R23" s="114"/>
      <c r="S23" s="114"/>
      <c r="T23" s="114"/>
      <c r="U23" s="95"/>
      <c r="V23" s="96"/>
      <c r="W23" s="96"/>
      <c r="X23" s="96"/>
      <c r="Y23" s="96"/>
      <c r="Z23" s="97"/>
    </row>
    <row r="24" spans="5:37" ht="17.25" customHeight="1">
      <c r="E24" s="107"/>
      <c r="F24" s="108"/>
      <c r="G24" s="108"/>
      <c r="H24" s="108"/>
      <c r="I24" s="108"/>
      <c r="J24" s="109"/>
      <c r="K24" s="146"/>
      <c r="L24" s="146"/>
      <c r="M24" s="86"/>
      <c r="N24" s="146"/>
      <c r="O24" s="146"/>
      <c r="P24" s="114"/>
      <c r="Q24" s="86"/>
      <c r="R24" s="114"/>
      <c r="S24" s="114"/>
      <c r="T24" s="114"/>
      <c r="U24" s="95"/>
      <c r="V24" s="96"/>
      <c r="W24" s="96"/>
      <c r="X24" s="96"/>
      <c r="Y24" s="96"/>
      <c r="Z24" s="97"/>
    </row>
    <row r="25" spans="5:37" ht="17.25" customHeight="1">
      <c r="E25" s="107"/>
      <c r="F25" s="108"/>
      <c r="G25" s="108"/>
      <c r="H25" s="108"/>
      <c r="I25" s="108"/>
      <c r="J25" s="109"/>
      <c r="K25" s="146"/>
      <c r="L25" s="146"/>
      <c r="M25" s="86"/>
      <c r="N25" s="146"/>
      <c r="O25" s="146"/>
      <c r="P25" s="114"/>
      <c r="Q25" s="86"/>
      <c r="R25" s="114"/>
      <c r="S25" s="114"/>
      <c r="T25" s="114"/>
      <c r="U25" s="95"/>
      <c r="V25" s="96"/>
      <c r="W25" s="96"/>
      <c r="X25" s="96"/>
      <c r="Y25" s="96"/>
      <c r="Z25" s="97"/>
    </row>
    <row r="26" spans="5:37" ht="17.25" customHeight="1" thickBot="1">
      <c r="E26" s="110"/>
      <c r="F26" s="111"/>
      <c r="G26" s="111"/>
      <c r="H26" s="111"/>
      <c r="I26" s="111"/>
      <c r="J26" s="112"/>
      <c r="K26" s="147"/>
      <c r="L26" s="147"/>
      <c r="M26" s="87"/>
      <c r="N26" s="147"/>
      <c r="O26" s="147"/>
      <c r="P26" s="115"/>
      <c r="Q26" s="87"/>
      <c r="R26" s="115"/>
      <c r="S26" s="115"/>
      <c r="T26" s="115"/>
      <c r="U26" s="98"/>
      <c r="V26" s="99"/>
      <c r="W26" s="99"/>
      <c r="X26" s="99"/>
      <c r="Y26" s="99"/>
      <c r="Z26" s="100"/>
    </row>
    <row r="30" spans="5:37" ht="17.25" customHeight="1">
      <c r="K30" s="32"/>
      <c r="L30" s="32"/>
      <c r="M30" s="32"/>
      <c r="N30" s="32"/>
      <c r="O30" s="32"/>
      <c r="P30" s="91"/>
      <c r="Q30" s="91"/>
      <c r="R30" s="91"/>
      <c r="S30" s="91"/>
      <c r="T30" s="91"/>
    </row>
    <row r="31" spans="5:37" ht="17.25" customHeight="1">
      <c r="K31" s="33"/>
      <c r="L31" s="33"/>
      <c r="M31" s="33"/>
      <c r="N31" s="33"/>
      <c r="O31" s="33"/>
      <c r="P31" s="33"/>
      <c r="Q31" s="33"/>
      <c r="R31" s="33"/>
      <c r="S31" s="33"/>
      <c r="T31" s="33"/>
    </row>
    <row r="32" spans="5:37" ht="17.25" customHeight="1">
      <c r="K32" s="33"/>
      <c r="L32" s="33"/>
      <c r="M32" s="33"/>
      <c r="N32" s="33"/>
      <c r="O32" s="33"/>
      <c r="P32" s="33"/>
      <c r="Q32" s="33"/>
      <c r="R32" s="33"/>
      <c r="S32" s="33"/>
      <c r="T32" s="33"/>
    </row>
    <row r="33" spans="11:20" ht="17.25" customHeight="1">
      <c r="K33" s="33"/>
      <c r="L33" s="33"/>
      <c r="M33" s="33"/>
      <c r="N33" s="33"/>
      <c r="O33" s="33"/>
      <c r="P33" s="33"/>
      <c r="Q33" s="33"/>
      <c r="R33" s="33"/>
      <c r="S33" s="33"/>
      <c r="T33" s="33"/>
    </row>
    <row r="34" spans="11:20" ht="17.25" customHeight="1">
      <c r="K34" s="33"/>
      <c r="L34" s="33"/>
      <c r="M34" s="33"/>
      <c r="N34" s="33"/>
      <c r="O34" s="33"/>
      <c r="P34" s="33"/>
      <c r="Q34" s="33"/>
      <c r="R34" s="33"/>
      <c r="S34" s="33"/>
      <c r="T34" s="33"/>
    </row>
    <row r="35" spans="11:20" ht="17.25" customHeight="1">
      <c r="K35" s="33"/>
      <c r="L35" s="33"/>
      <c r="M35" s="33"/>
      <c r="N35" s="33"/>
      <c r="O35" s="33"/>
      <c r="P35" s="33"/>
      <c r="Q35" s="33"/>
      <c r="R35" s="33"/>
      <c r="S35" s="33"/>
      <c r="T35" s="33"/>
    </row>
    <row r="36" spans="11:20" ht="17.25" customHeight="1">
      <c r="K36" s="33"/>
      <c r="L36" s="33"/>
      <c r="M36" s="33"/>
      <c r="N36" s="33"/>
      <c r="O36" s="33"/>
      <c r="P36" s="33"/>
      <c r="Q36" s="33"/>
      <c r="R36" s="33"/>
      <c r="S36" s="33"/>
      <c r="T36" s="33"/>
    </row>
    <row r="37" spans="11:20" ht="17.25" customHeight="1">
      <c r="K37" s="33"/>
      <c r="L37" s="33"/>
      <c r="M37" s="33"/>
      <c r="N37" s="33"/>
      <c r="O37" s="33"/>
      <c r="P37" s="33"/>
      <c r="Q37" s="33"/>
      <c r="R37" s="33"/>
      <c r="S37" s="33"/>
      <c r="T37" s="33"/>
    </row>
    <row r="38" spans="11:20" ht="17.25" customHeight="1">
      <c r="K38" s="33"/>
      <c r="L38" s="33"/>
      <c r="M38" s="33"/>
      <c r="N38" s="33"/>
      <c r="O38" s="33"/>
      <c r="P38" s="33"/>
      <c r="Q38" s="33"/>
      <c r="R38" s="33"/>
      <c r="S38" s="33"/>
      <c r="T38" s="33"/>
    </row>
    <row r="39" spans="11:20" ht="17.25" customHeight="1">
      <c r="K39" s="33"/>
      <c r="L39" s="33"/>
      <c r="M39" s="33"/>
      <c r="N39" s="33"/>
      <c r="O39" s="33"/>
      <c r="P39" s="33"/>
      <c r="Q39" s="33"/>
      <c r="R39" s="33"/>
      <c r="S39" s="33"/>
      <c r="T39" s="33"/>
    </row>
    <row r="40" spans="11:20" ht="17.25" customHeight="1">
      <c r="K40" s="33"/>
      <c r="L40" s="33"/>
      <c r="M40" s="33"/>
      <c r="N40" s="33"/>
      <c r="O40" s="33"/>
      <c r="P40" s="33"/>
      <c r="Q40" s="33"/>
      <c r="R40" s="33"/>
      <c r="S40" s="33"/>
      <c r="T40" s="33"/>
    </row>
    <row r="41" spans="11:20" ht="17.25" customHeight="1">
      <c r="K41" s="33"/>
      <c r="L41" s="33"/>
      <c r="M41" s="33"/>
      <c r="N41" s="34"/>
      <c r="O41" s="33"/>
      <c r="P41" s="33"/>
      <c r="Q41" s="33"/>
      <c r="R41" s="33"/>
      <c r="S41" s="33"/>
      <c r="T41" s="33"/>
    </row>
    <row r="42" spans="11:20" ht="17.25" customHeight="1">
      <c r="K42" s="33"/>
      <c r="L42" s="33"/>
      <c r="M42" s="33"/>
      <c r="N42" s="33"/>
      <c r="O42" s="33"/>
      <c r="P42" s="33"/>
      <c r="Q42" s="33"/>
      <c r="R42" s="33"/>
      <c r="S42" s="33"/>
      <c r="T42" s="33"/>
    </row>
    <row r="43" spans="11:20" ht="17.25" customHeight="1">
      <c r="K43" s="33"/>
      <c r="L43" s="33"/>
      <c r="M43" s="33"/>
      <c r="N43" s="33"/>
      <c r="O43" s="33"/>
      <c r="P43" s="33"/>
      <c r="Q43" s="33"/>
      <c r="R43" s="33"/>
      <c r="S43" s="33"/>
      <c r="T43" s="33"/>
    </row>
    <row r="44" spans="11:20" ht="17.25" customHeight="1">
      <c r="K44" s="33"/>
      <c r="L44" s="33"/>
      <c r="M44" s="33"/>
      <c r="N44" s="33"/>
      <c r="O44" s="33"/>
      <c r="P44" s="33"/>
      <c r="Q44" s="33"/>
      <c r="R44" s="33"/>
      <c r="S44" s="33"/>
      <c r="T44" s="33"/>
    </row>
    <row r="45" spans="11:20" ht="17.25" customHeight="1">
      <c r="K45" s="33"/>
      <c r="L45" s="33"/>
      <c r="M45" s="33"/>
      <c r="N45" s="33"/>
      <c r="O45" s="33"/>
      <c r="P45" s="33"/>
      <c r="Q45" s="33"/>
      <c r="R45" s="33"/>
      <c r="S45" s="33"/>
      <c r="T45" s="33"/>
    </row>
    <row r="46" spans="11:20" ht="17.25" customHeight="1">
      <c r="K46" s="33"/>
      <c r="L46" s="33"/>
      <c r="M46" s="33"/>
      <c r="N46" s="33"/>
      <c r="O46" s="33"/>
      <c r="P46" s="33"/>
      <c r="Q46" s="33"/>
      <c r="R46" s="33"/>
      <c r="S46" s="33"/>
      <c r="T46" s="33"/>
    </row>
    <row r="47" spans="11:20" ht="17.25" customHeight="1">
      <c r="K47" s="33"/>
      <c r="L47" s="33"/>
      <c r="M47" s="33"/>
      <c r="N47" s="33"/>
      <c r="O47" s="33"/>
      <c r="P47" s="33"/>
      <c r="Q47" s="33"/>
      <c r="R47" s="33"/>
      <c r="S47" s="33"/>
      <c r="T47" s="33"/>
    </row>
    <row r="48" spans="11:20" ht="17.25" customHeight="1">
      <c r="K48" s="33"/>
      <c r="L48" s="33"/>
      <c r="M48" s="33"/>
      <c r="N48" s="33"/>
      <c r="O48" s="33"/>
      <c r="P48" s="33"/>
      <c r="Q48" s="33"/>
      <c r="R48" s="33"/>
      <c r="S48" s="33"/>
      <c r="T48" s="33"/>
    </row>
    <row r="49" spans="11:20" ht="17.25" customHeight="1">
      <c r="K49" s="33"/>
      <c r="L49" s="33"/>
      <c r="M49" s="33"/>
      <c r="N49" s="33"/>
      <c r="O49" s="33"/>
      <c r="P49" s="33"/>
      <c r="Q49" s="33"/>
      <c r="R49" s="33"/>
      <c r="S49" s="33"/>
      <c r="T49" s="33"/>
    </row>
    <row r="50" spans="11:20" ht="17.25" customHeight="1">
      <c r="K50" s="33"/>
      <c r="L50" s="33"/>
      <c r="M50" s="33"/>
      <c r="N50" s="33"/>
      <c r="O50" s="33"/>
      <c r="P50" s="33"/>
      <c r="Q50" s="33"/>
      <c r="R50" s="33"/>
      <c r="S50" s="33"/>
      <c r="T50" s="33"/>
    </row>
    <row r="51" spans="11:20" ht="17.25" customHeight="1">
      <c r="K51" s="33"/>
      <c r="L51" s="33"/>
      <c r="M51" s="33"/>
      <c r="N51" s="33"/>
      <c r="O51" s="33"/>
      <c r="P51" s="33"/>
      <c r="Q51" s="33"/>
      <c r="R51" s="33"/>
      <c r="S51" s="33"/>
      <c r="T51" s="33"/>
    </row>
    <row r="52" spans="11:20" ht="17.25" customHeight="1">
      <c r="K52" s="33"/>
      <c r="L52" s="33"/>
      <c r="M52" s="33"/>
      <c r="N52" s="33"/>
      <c r="O52" s="33"/>
      <c r="P52" s="33"/>
      <c r="Q52" s="33"/>
      <c r="R52" s="33"/>
      <c r="S52" s="33"/>
      <c r="T52" s="33"/>
    </row>
    <row r="53" spans="11:20" ht="17.25" customHeight="1">
      <c r="K53" s="33"/>
      <c r="L53" s="33"/>
      <c r="M53" s="33"/>
      <c r="N53" s="33"/>
      <c r="O53" s="33"/>
      <c r="P53" s="33"/>
      <c r="Q53" s="33"/>
      <c r="R53" s="33"/>
      <c r="S53" s="33"/>
      <c r="T53" s="33"/>
    </row>
    <row r="54" spans="11:20" ht="17.25" customHeight="1">
      <c r="K54" s="33"/>
      <c r="L54" s="33"/>
      <c r="M54" s="33"/>
      <c r="N54" s="33"/>
      <c r="O54" s="33"/>
      <c r="P54" s="33"/>
      <c r="Q54" s="33"/>
      <c r="R54" s="33"/>
      <c r="S54" s="33"/>
      <c r="T54" s="33"/>
    </row>
    <row r="55" spans="11:20" ht="17.25" customHeight="1">
      <c r="K55" s="33"/>
      <c r="L55" s="33"/>
      <c r="M55" s="33"/>
      <c r="N55" s="33"/>
      <c r="O55" s="33"/>
      <c r="P55" s="33"/>
      <c r="Q55" s="33"/>
      <c r="R55" s="33"/>
      <c r="S55" s="33"/>
      <c r="T55" s="33"/>
    </row>
    <row r="56" spans="11:20" ht="17.25" customHeight="1">
      <c r="K56" s="33"/>
      <c r="L56" s="33"/>
      <c r="M56" s="33"/>
      <c r="N56" s="33"/>
      <c r="O56" s="33"/>
      <c r="P56" s="33"/>
      <c r="Q56" s="33"/>
      <c r="R56" s="33"/>
      <c r="S56" s="33"/>
      <c r="T56" s="33"/>
    </row>
    <row r="57" spans="11:20" ht="17.25" customHeight="1">
      <c r="K57" s="33"/>
      <c r="L57" s="33"/>
      <c r="M57" s="33"/>
      <c r="N57" s="33"/>
      <c r="O57" s="33"/>
      <c r="P57" s="33"/>
      <c r="Q57" s="33"/>
      <c r="R57" s="33"/>
      <c r="S57" s="33"/>
      <c r="T57" s="33"/>
    </row>
    <row r="58" spans="11:20" ht="17.25" customHeight="1">
      <c r="K58" s="33"/>
      <c r="L58" s="33"/>
      <c r="M58" s="33"/>
      <c r="N58" s="33"/>
      <c r="O58" s="33"/>
      <c r="P58" s="33"/>
      <c r="Q58" s="33"/>
      <c r="R58" s="33"/>
      <c r="S58" s="33"/>
      <c r="T58" s="33"/>
    </row>
    <row r="59" spans="11:20" ht="17.25" customHeight="1">
      <c r="K59" s="33"/>
      <c r="L59" s="33"/>
      <c r="M59" s="33"/>
      <c r="N59" s="33"/>
      <c r="O59" s="33"/>
      <c r="P59" s="33"/>
      <c r="Q59" s="33"/>
      <c r="R59" s="33"/>
      <c r="S59" s="33"/>
      <c r="T59" s="33"/>
    </row>
    <row r="60" spans="11:20" ht="17.25" customHeight="1">
      <c r="K60" s="33"/>
      <c r="L60" s="33"/>
      <c r="M60" s="33"/>
      <c r="N60" s="33"/>
      <c r="O60" s="33"/>
      <c r="P60" s="33"/>
      <c r="Q60" s="33"/>
      <c r="R60" s="33"/>
      <c r="S60" s="33"/>
      <c r="T60" s="33"/>
    </row>
    <row r="61" spans="11:20" ht="17.25" customHeight="1">
      <c r="K61" s="33"/>
      <c r="L61" s="33"/>
      <c r="M61" s="33"/>
      <c r="N61" s="33"/>
      <c r="O61" s="33"/>
      <c r="P61" s="33"/>
      <c r="Q61" s="33"/>
      <c r="R61" s="33"/>
      <c r="S61" s="33"/>
      <c r="T61" s="33"/>
    </row>
    <row r="62" spans="11:20" ht="17.25" customHeight="1">
      <c r="K62" s="33"/>
      <c r="L62" s="33"/>
      <c r="M62" s="33"/>
      <c r="N62" s="33"/>
      <c r="O62" s="33"/>
      <c r="P62" s="33"/>
      <c r="Q62" s="33"/>
      <c r="R62" s="33"/>
      <c r="S62" s="33"/>
      <c r="T62" s="33"/>
    </row>
    <row r="63" spans="11:20" ht="17.25" customHeight="1">
      <c r="K63" s="33"/>
      <c r="L63" s="33"/>
      <c r="M63" s="33"/>
      <c r="N63" s="33"/>
      <c r="O63" s="33"/>
      <c r="P63" s="33"/>
      <c r="Q63" s="33"/>
      <c r="R63" s="33"/>
      <c r="S63" s="33"/>
      <c r="T63" s="33"/>
    </row>
    <row r="64" spans="11:20" ht="17.25" customHeight="1">
      <c r="K64" s="33"/>
      <c r="L64" s="33"/>
      <c r="M64" s="33"/>
      <c r="N64" s="33"/>
      <c r="O64" s="33"/>
      <c r="P64" s="33"/>
      <c r="Q64" s="33"/>
      <c r="R64" s="33"/>
      <c r="S64" s="33"/>
      <c r="T64" s="33"/>
    </row>
    <row r="65" spans="11:20" ht="17.25" customHeight="1">
      <c r="K65" s="33"/>
      <c r="L65" s="33"/>
      <c r="M65" s="33"/>
      <c r="N65" s="33"/>
      <c r="O65" s="33"/>
      <c r="P65" s="33"/>
      <c r="Q65" s="33"/>
      <c r="R65" s="33"/>
      <c r="S65" s="33"/>
      <c r="T65" s="33"/>
    </row>
    <row r="66" spans="11:20" ht="17.25" customHeight="1">
      <c r="K66" s="33"/>
      <c r="L66" s="33"/>
      <c r="M66" s="33"/>
      <c r="N66" s="33"/>
      <c r="O66" s="33"/>
      <c r="P66" s="33"/>
      <c r="Q66" s="33"/>
      <c r="R66" s="33"/>
      <c r="S66" s="33"/>
      <c r="T66" s="33"/>
    </row>
    <row r="67" spans="11:20" ht="17.25" customHeight="1">
      <c r="K67" s="33"/>
      <c r="L67" s="33"/>
      <c r="M67" s="33"/>
      <c r="N67" s="33"/>
      <c r="O67" s="33"/>
      <c r="P67" s="33"/>
      <c r="Q67" s="33"/>
      <c r="R67" s="33"/>
      <c r="S67" s="33"/>
      <c r="T67" s="33"/>
    </row>
    <row r="68" spans="11:20" ht="17.25" customHeight="1">
      <c r="K68" s="33"/>
      <c r="L68" s="33"/>
      <c r="M68" s="33"/>
      <c r="N68" s="33"/>
      <c r="O68" s="33"/>
      <c r="P68" s="33"/>
      <c r="Q68" s="33"/>
      <c r="R68" s="33"/>
      <c r="S68" s="33"/>
      <c r="T68" s="33"/>
    </row>
    <row r="69" spans="11:20" ht="17.25" customHeight="1">
      <c r="K69" s="33"/>
      <c r="L69" s="33"/>
      <c r="M69" s="33"/>
      <c r="N69" s="33"/>
      <c r="O69" s="33"/>
      <c r="P69" s="33"/>
      <c r="Q69" s="33"/>
      <c r="R69" s="33"/>
      <c r="S69" s="33"/>
      <c r="T69" s="33"/>
    </row>
    <row r="70" spans="11:20" ht="17.25" customHeight="1">
      <c r="K70" s="33"/>
      <c r="L70" s="33"/>
      <c r="M70" s="33"/>
      <c r="N70" s="33"/>
      <c r="O70" s="33"/>
      <c r="P70" s="33"/>
      <c r="Q70" s="33"/>
      <c r="R70" s="33"/>
      <c r="S70" s="33"/>
      <c r="T70" s="33"/>
    </row>
    <row r="71" spans="11:20" ht="17.25" customHeight="1">
      <c r="K71" s="33"/>
      <c r="L71" s="33"/>
      <c r="M71" s="33"/>
      <c r="N71" s="33"/>
      <c r="O71" s="33"/>
      <c r="P71" s="33"/>
      <c r="Q71" s="33"/>
      <c r="R71" s="33"/>
      <c r="S71" s="33"/>
      <c r="T71" s="33"/>
    </row>
    <row r="72" spans="11:20" ht="17.25" customHeight="1">
      <c r="K72" s="33"/>
      <c r="L72" s="33"/>
      <c r="M72" s="33"/>
      <c r="N72" s="33"/>
      <c r="O72" s="33"/>
      <c r="P72" s="33"/>
      <c r="Q72" s="33"/>
      <c r="R72" s="33"/>
      <c r="S72" s="33"/>
      <c r="T72" s="33"/>
    </row>
    <row r="73" spans="11:20" ht="17.25" customHeight="1">
      <c r="K73" s="33"/>
      <c r="L73" s="33"/>
      <c r="M73" s="33"/>
      <c r="N73" s="33"/>
      <c r="O73" s="33"/>
      <c r="P73" s="33"/>
      <c r="Q73" s="33"/>
      <c r="R73" s="33"/>
      <c r="S73" s="33"/>
      <c r="T73" s="33"/>
    </row>
    <row r="74" spans="11:20" ht="17.25" customHeight="1">
      <c r="K74" s="33"/>
      <c r="L74" s="33"/>
      <c r="M74" s="33"/>
      <c r="N74" s="33"/>
      <c r="O74" s="33"/>
      <c r="P74" s="33"/>
      <c r="Q74" s="33"/>
      <c r="R74" s="33"/>
      <c r="S74" s="33"/>
      <c r="T74" s="33"/>
    </row>
    <row r="75" spans="11:20" ht="17.25" customHeight="1">
      <c r="K75" s="33"/>
      <c r="L75" s="33"/>
      <c r="M75" s="33"/>
      <c r="N75" s="33"/>
      <c r="O75" s="33"/>
      <c r="P75" s="33"/>
      <c r="Q75" s="33"/>
      <c r="R75" s="33"/>
      <c r="S75" s="33"/>
      <c r="T75" s="33"/>
    </row>
  </sheetData>
  <mergeCells count="49">
    <mergeCell ref="V19:Z19"/>
    <mergeCell ref="V20:Z20"/>
    <mergeCell ref="V11:Z11"/>
    <mergeCell ref="V13:Z13"/>
    <mergeCell ref="V15:Z15"/>
    <mergeCell ref="V16:Z16"/>
    <mergeCell ref="V17:Z17"/>
    <mergeCell ref="E14:I14"/>
    <mergeCell ref="E12:I12"/>
    <mergeCell ref="E11:I11"/>
    <mergeCell ref="K5:K9"/>
    <mergeCell ref="L5:L9"/>
    <mergeCell ref="E20:I20"/>
    <mergeCell ref="E19:I19"/>
    <mergeCell ref="E18:I18"/>
    <mergeCell ref="E16:I16"/>
    <mergeCell ref="E15:I15"/>
    <mergeCell ref="E21:J26"/>
    <mergeCell ref="Q5:Q10"/>
    <mergeCell ref="E13:J13"/>
    <mergeCell ref="M21:M26"/>
    <mergeCell ref="E17:J17"/>
    <mergeCell ref="E5:J10"/>
    <mergeCell ref="M15:R15"/>
    <mergeCell ref="L12:M12"/>
    <mergeCell ref="R19:S19"/>
    <mergeCell ref="S22:S26"/>
    <mergeCell ref="R22:R26"/>
    <mergeCell ref="P22:P26"/>
    <mergeCell ref="O22:O26"/>
    <mergeCell ref="N22:N26"/>
    <mergeCell ref="L22:L26"/>
    <mergeCell ref="K22:K26"/>
    <mergeCell ref="Q21:Q26"/>
    <mergeCell ref="M5:M10"/>
    <mergeCell ref="Q12:S12"/>
    <mergeCell ref="P30:T30"/>
    <mergeCell ref="U21:Z26"/>
    <mergeCell ref="U14:Z14"/>
    <mergeCell ref="U18:Z18"/>
    <mergeCell ref="U5:Z10"/>
    <mergeCell ref="T22:T26"/>
    <mergeCell ref="N5:N9"/>
    <mergeCell ref="O5:O9"/>
    <mergeCell ref="P5:P9"/>
    <mergeCell ref="R5:R9"/>
    <mergeCell ref="S5:S9"/>
    <mergeCell ref="T5:T9"/>
    <mergeCell ref="V12:Z1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3">
          <controlPr defaultSize="0" autoLine="0" r:id="rId5">
            <anchor moveWithCells="1">
              <from>
                <xdr:col>12</xdr:col>
                <xdr:colOff>1206500</xdr:colOff>
                <xdr:row>15</xdr:row>
                <xdr:rowOff>6350</xdr:rowOff>
              </from>
              <to>
                <xdr:col>14</xdr:col>
                <xdr:colOff>1073150</xdr:colOff>
                <xdr:row>15</xdr:row>
                <xdr:rowOff>1174750</xdr:rowOff>
              </to>
            </anchor>
          </controlPr>
        </control>
      </mc:Choice>
      <mc:Fallback>
        <control shapeId="2053" r:id="rId4" name="CommandButton3"/>
      </mc:Fallback>
    </mc:AlternateContent>
    <mc:AlternateContent xmlns:mc="http://schemas.openxmlformats.org/markup-compatibility/2006">
      <mc:Choice Requires="x14">
        <control shapeId="2052" r:id="rId6" name="start_button">
          <controlPr defaultSize="0" autoLine="0" r:id="rId7">
            <anchor moveWithCells="1">
              <from>
                <xdr:col>15</xdr:col>
                <xdr:colOff>165100</xdr:colOff>
                <xdr:row>14</xdr:row>
                <xdr:rowOff>1270000</xdr:rowOff>
              </from>
              <to>
                <xdr:col>17</xdr:col>
                <xdr:colOff>69850</xdr:colOff>
                <xdr:row>15</xdr:row>
                <xdr:rowOff>1174750</xdr:rowOff>
              </to>
            </anchor>
          </controlPr>
        </control>
      </mc:Choice>
      <mc:Fallback>
        <control shapeId="2052" r:id="rId6" name="start_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8E0F3-B0BA-409E-9192-65183489E6DD}">
  <sheetPr codeName="工作表2"/>
  <dimension ref="A1:C32"/>
  <sheetViews>
    <sheetView zoomScaleNormal="100" workbookViewId="0">
      <selection activeCell="B22" sqref="B22"/>
    </sheetView>
  </sheetViews>
  <sheetFormatPr defaultColWidth="8.90625" defaultRowHeight="17"/>
  <cols>
    <col min="1" max="1" width="4.36328125" bestFit="1" customWidth="1"/>
    <col min="2" max="2" width="52.08984375" bestFit="1" customWidth="1"/>
    <col min="3" max="3" width="60.36328125" bestFit="1" customWidth="1"/>
  </cols>
  <sheetData>
    <row r="1" spans="1:3">
      <c r="A1" s="48"/>
      <c r="B1" s="51" t="s">
        <v>7</v>
      </c>
      <c r="C1" s="52" t="s">
        <v>11</v>
      </c>
    </row>
    <row r="2" spans="1:3">
      <c r="A2" s="48">
        <v>1</v>
      </c>
      <c r="B2" s="49" t="s">
        <v>51</v>
      </c>
      <c r="C2" s="50" t="s">
        <v>52</v>
      </c>
    </row>
    <row r="3" spans="1:3">
      <c r="A3" s="48">
        <v>2</v>
      </c>
      <c r="B3" s="49" t="s">
        <v>53</v>
      </c>
      <c r="C3" s="50" t="s">
        <v>160</v>
      </c>
    </row>
    <row r="4" spans="1:3">
      <c r="A4" s="48">
        <v>3</v>
      </c>
      <c r="B4" s="49" t="s">
        <v>54</v>
      </c>
      <c r="C4" s="50" t="s">
        <v>55</v>
      </c>
    </row>
    <row r="5" spans="1:3">
      <c r="A5" s="48">
        <v>4</v>
      </c>
      <c r="B5" s="49" t="s">
        <v>153</v>
      </c>
      <c r="C5" s="50" t="s">
        <v>56</v>
      </c>
    </row>
    <row r="6" spans="1:3">
      <c r="A6" s="48">
        <v>5</v>
      </c>
      <c r="B6" s="49" t="s">
        <v>57</v>
      </c>
      <c r="C6" s="50" t="s">
        <v>58</v>
      </c>
    </row>
    <row r="7" spans="1:3">
      <c r="A7" s="48">
        <v>6</v>
      </c>
      <c r="B7" s="49" t="s">
        <v>59</v>
      </c>
      <c r="C7" s="50" t="s">
        <v>60</v>
      </c>
    </row>
    <row r="8" spans="1:3">
      <c r="A8" s="48">
        <v>7</v>
      </c>
      <c r="B8" s="49" t="s">
        <v>154</v>
      </c>
      <c r="C8" s="50" t="s">
        <v>61</v>
      </c>
    </row>
    <row r="9" spans="1:3">
      <c r="A9" s="48">
        <v>8</v>
      </c>
      <c r="B9" s="49" t="s">
        <v>62</v>
      </c>
      <c r="C9" s="50" t="s">
        <v>63</v>
      </c>
    </row>
    <row r="10" spans="1:3">
      <c r="A10" s="48">
        <v>9</v>
      </c>
      <c r="B10" s="49" t="s">
        <v>64</v>
      </c>
      <c r="C10" s="50" t="s">
        <v>65</v>
      </c>
    </row>
    <row r="11" spans="1:3">
      <c r="A11" s="48">
        <v>10</v>
      </c>
      <c r="B11" s="49" t="s">
        <v>66</v>
      </c>
      <c r="C11" s="50" t="s">
        <v>161</v>
      </c>
    </row>
    <row r="12" spans="1:3">
      <c r="A12" s="48">
        <v>11</v>
      </c>
      <c r="B12" s="49" t="s">
        <v>67</v>
      </c>
      <c r="C12" s="50" t="s">
        <v>68</v>
      </c>
    </row>
    <row r="13" spans="1:3">
      <c r="A13" s="48">
        <v>12</v>
      </c>
      <c r="B13" s="49" t="s">
        <v>69</v>
      </c>
      <c r="C13" s="50" t="s">
        <v>168</v>
      </c>
    </row>
    <row r="14" spans="1:3">
      <c r="A14" s="48">
        <v>13</v>
      </c>
      <c r="B14" s="49" t="s">
        <v>155</v>
      </c>
      <c r="C14" s="50" t="s">
        <v>163</v>
      </c>
    </row>
    <row r="15" spans="1:3">
      <c r="A15" s="48">
        <v>14</v>
      </c>
      <c r="B15" s="49" t="s">
        <v>70</v>
      </c>
      <c r="C15" s="50" t="s">
        <v>71</v>
      </c>
    </row>
    <row r="16" spans="1:3">
      <c r="A16" s="48">
        <v>15</v>
      </c>
      <c r="B16" s="49" t="s">
        <v>156</v>
      </c>
      <c r="C16" s="50" t="s">
        <v>162</v>
      </c>
    </row>
    <row r="17" spans="1:3">
      <c r="A17" s="48">
        <v>16</v>
      </c>
      <c r="B17" s="49" t="s">
        <v>72</v>
      </c>
      <c r="C17" s="50" t="s">
        <v>73</v>
      </c>
    </row>
    <row r="18" spans="1:3">
      <c r="A18" s="48">
        <v>17</v>
      </c>
      <c r="B18" s="49" t="s">
        <v>74</v>
      </c>
      <c r="C18" s="50" t="s">
        <v>75</v>
      </c>
    </row>
    <row r="19" spans="1:3">
      <c r="A19" s="48">
        <v>18</v>
      </c>
      <c r="B19" s="49" t="s">
        <v>157</v>
      </c>
      <c r="C19" s="50" t="s">
        <v>76</v>
      </c>
    </row>
    <row r="20" spans="1:3">
      <c r="A20" s="48">
        <v>19</v>
      </c>
      <c r="B20" s="49" t="s">
        <v>77</v>
      </c>
      <c r="C20" s="50" t="s">
        <v>78</v>
      </c>
    </row>
    <row r="21" spans="1:3">
      <c r="A21" s="48">
        <v>20</v>
      </c>
      <c r="B21" s="49" t="s">
        <v>158</v>
      </c>
      <c r="C21" s="50" t="s">
        <v>79</v>
      </c>
    </row>
    <row r="22" spans="1:3">
      <c r="A22" s="48">
        <v>21</v>
      </c>
      <c r="B22" s="49" t="s">
        <v>80</v>
      </c>
      <c r="C22" s="50" t="s">
        <v>81</v>
      </c>
    </row>
    <row r="23" spans="1:3">
      <c r="A23" s="48">
        <v>22</v>
      </c>
      <c r="B23" s="49" t="s">
        <v>82</v>
      </c>
      <c r="C23" s="50" t="s">
        <v>164</v>
      </c>
    </row>
    <row r="24" spans="1:3">
      <c r="A24" s="48">
        <v>23</v>
      </c>
      <c r="B24" s="49" t="s">
        <v>83</v>
      </c>
      <c r="C24" s="50" t="s">
        <v>84</v>
      </c>
    </row>
    <row r="25" spans="1:3">
      <c r="A25" s="48">
        <v>24</v>
      </c>
      <c r="B25" s="49" t="s">
        <v>85</v>
      </c>
      <c r="C25" s="50" t="s">
        <v>86</v>
      </c>
    </row>
    <row r="26" spans="1:3">
      <c r="A26" s="48">
        <v>25</v>
      </c>
      <c r="B26" s="49" t="s">
        <v>87</v>
      </c>
      <c r="C26" s="50" t="s">
        <v>88</v>
      </c>
    </row>
    <row r="27" spans="1:3">
      <c r="A27" s="48">
        <v>26</v>
      </c>
      <c r="B27" s="49" t="s">
        <v>89</v>
      </c>
      <c r="C27" s="50" t="s">
        <v>90</v>
      </c>
    </row>
    <row r="28" spans="1:3">
      <c r="A28" s="48">
        <v>27</v>
      </c>
      <c r="B28" s="49" t="s">
        <v>91</v>
      </c>
      <c r="C28" s="50" t="s">
        <v>92</v>
      </c>
    </row>
    <row r="29" spans="1:3">
      <c r="A29" s="48">
        <v>28</v>
      </c>
      <c r="B29" s="49" t="s">
        <v>159</v>
      </c>
      <c r="C29" s="50" t="s">
        <v>165</v>
      </c>
    </row>
    <row r="30" spans="1:3">
      <c r="A30" s="48">
        <v>29</v>
      </c>
      <c r="B30" s="49" t="s">
        <v>93</v>
      </c>
      <c r="C30" s="50" t="s">
        <v>166</v>
      </c>
    </row>
    <row r="31" spans="1:3">
      <c r="A31" s="48">
        <v>30</v>
      </c>
      <c r="B31" s="49" t="s">
        <v>94</v>
      </c>
      <c r="C31" s="50" t="s">
        <v>95</v>
      </c>
    </row>
    <row r="32" spans="1:3">
      <c r="A32" s="4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A9422-FC68-4272-B641-BF350DF5F7E5}">
  <sheetPr codeName="工作表4"/>
  <dimension ref="A1:AB47"/>
  <sheetViews>
    <sheetView zoomScale="85" zoomScaleNormal="85" workbookViewId="0">
      <selection activeCell="B1" sqref="B1"/>
    </sheetView>
  </sheetViews>
  <sheetFormatPr defaultColWidth="8.90625" defaultRowHeight="17"/>
  <cols>
    <col min="1" max="1" width="9.08984375" bestFit="1" customWidth="1"/>
    <col min="2" max="2" width="6.90625" bestFit="1" customWidth="1"/>
    <col min="5" max="5" width="10.08984375" customWidth="1"/>
    <col min="6" max="6" width="12.08984375" customWidth="1"/>
    <col min="7" max="7" width="13.36328125" customWidth="1"/>
    <col min="8" max="8" width="11.08984375" customWidth="1"/>
    <col min="10" max="10" width="10.6328125" customWidth="1"/>
    <col min="11" max="11" width="12.453125" bestFit="1" customWidth="1"/>
    <col min="12" max="12" width="12.453125" customWidth="1"/>
    <col min="13" max="13" width="11.6328125" customWidth="1"/>
    <col min="14" max="14" width="13" customWidth="1"/>
    <col min="15" max="15" width="11.90625" customWidth="1"/>
    <col min="16" max="16" width="8.90625" style="35"/>
    <col min="21" max="21" width="12.6328125" bestFit="1" customWidth="1"/>
    <col min="22" max="22" width="9.08984375" bestFit="1" customWidth="1"/>
    <col min="23" max="23" width="12.6328125" bestFit="1" customWidth="1"/>
    <col min="24" max="24" width="9.08984375" bestFit="1" customWidth="1"/>
    <col min="25" max="25" width="14.453125" bestFit="1" customWidth="1"/>
    <col min="26" max="26" width="9.08984375" bestFit="1" customWidth="1"/>
    <col min="27" max="27" width="14.08984375" bestFit="1" customWidth="1"/>
  </cols>
  <sheetData>
    <row r="1" spans="1:28">
      <c r="A1" s="28" t="s">
        <v>96</v>
      </c>
      <c r="B1" s="28" t="s">
        <v>175</v>
      </c>
      <c r="C1" s="28" t="s">
        <v>97</v>
      </c>
      <c r="D1" s="28" t="s">
        <v>98</v>
      </c>
      <c r="E1" s="1"/>
      <c r="F1" s="1"/>
      <c r="G1" s="1">
        <f>MATCH(H4,H:H,0)</f>
        <v>4</v>
      </c>
      <c r="H1" s="1"/>
      <c r="I1" s="1"/>
      <c r="J1" s="158" t="s">
        <v>99</v>
      </c>
      <c r="K1" s="158"/>
      <c r="L1" s="158"/>
      <c r="M1" s="158"/>
      <c r="N1" s="158"/>
      <c r="T1" s="159" t="s">
        <v>100</v>
      </c>
      <c r="U1" s="159"/>
      <c r="V1" s="159"/>
      <c r="W1" s="159"/>
      <c r="X1" s="159"/>
      <c r="Y1" s="159"/>
      <c r="Z1" s="159"/>
      <c r="AA1" s="159"/>
    </row>
    <row r="2" spans="1:28">
      <c r="A2" s="29" t="s">
        <v>101</v>
      </c>
      <c r="B2" s="29">
        <v>1</v>
      </c>
      <c r="C2" s="29">
        <v>0</v>
      </c>
      <c r="D2" s="27">
        <v>0</v>
      </c>
      <c r="E2" s="2" t="s">
        <v>102</v>
      </c>
      <c r="F2" s="2" t="s">
        <v>103</v>
      </c>
      <c r="G2" s="2" t="s">
        <v>104</v>
      </c>
      <c r="H2" s="2" t="s">
        <v>105</v>
      </c>
      <c r="I2" s="2" t="s">
        <v>106</v>
      </c>
      <c r="J2" s="2" t="s">
        <v>107</v>
      </c>
      <c r="K2" s="2" t="s">
        <v>108</v>
      </c>
      <c r="L2" s="2" t="s">
        <v>109</v>
      </c>
      <c r="M2" s="2" t="s">
        <v>110</v>
      </c>
      <c r="N2" s="2" t="s">
        <v>111</v>
      </c>
      <c r="O2" s="2" t="s">
        <v>112</v>
      </c>
      <c r="P2" s="35" t="s">
        <v>113</v>
      </c>
      <c r="Q2" s="35" t="s">
        <v>114</v>
      </c>
      <c r="R2" s="35" t="s">
        <v>115</v>
      </c>
      <c r="S2" s="36"/>
      <c r="T2" s="40" t="s">
        <v>116</v>
      </c>
      <c r="U2" s="40" t="s">
        <v>117</v>
      </c>
      <c r="V2" s="41" t="s">
        <v>177</v>
      </c>
      <c r="W2" s="41" t="s">
        <v>178</v>
      </c>
      <c r="X2" s="41" t="s">
        <v>177</v>
      </c>
      <c r="Y2" s="41" t="s">
        <v>178</v>
      </c>
      <c r="Z2" s="41"/>
      <c r="AA2" s="41"/>
      <c r="AB2" s="36"/>
    </row>
    <row r="3" spans="1:28">
      <c r="A3" s="29" t="s">
        <v>118</v>
      </c>
      <c r="B3" s="29">
        <v>1</v>
      </c>
      <c r="C3" s="29">
        <v>0</v>
      </c>
      <c r="D3" s="27">
        <v>0</v>
      </c>
      <c r="E3" s="2" t="s">
        <v>119</v>
      </c>
      <c r="F3" s="2"/>
      <c r="G3" s="2">
        <v>1</v>
      </c>
      <c r="H3" s="2" t="s">
        <v>42</v>
      </c>
      <c r="I3" s="2"/>
      <c r="J3" s="2"/>
      <c r="K3" s="2"/>
      <c r="L3" s="2"/>
      <c r="M3" s="2"/>
      <c r="N3" s="2"/>
      <c r="Q3" s="36">
        <v>21</v>
      </c>
      <c r="R3" s="36">
        <v>21</v>
      </c>
      <c r="S3" s="36" t="s">
        <v>120</v>
      </c>
      <c r="T3" s="42" t="s">
        <v>121</v>
      </c>
      <c r="U3" s="42" t="s">
        <v>122</v>
      </c>
      <c r="V3" s="41"/>
      <c r="W3" s="41"/>
      <c r="X3" s="41"/>
      <c r="Y3" s="41"/>
      <c r="Z3" s="41"/>
      <c r="AA3" s="41"/>
      <c r="AB3" s="36"/>
    </row>
    <row r="4" spans="1:28">
      <c r="A4" s="29" t="s">
        <v>123</v>
      </c>
      <c r="B4" s="29">
        <v>1</v>
      </c>
      <c r="C4" s="31">
        <v>0</v>
      </c>
      <c r="D4" s="27">
        <v>0</v>
      </c>
      <c r="E4" s="2"/>
      <c r="F4" s="2" t="s">
        <v>124</v>
      </c>
      <c r="G4" s="2">
        <v>2</v>
      </c>
      <c r="H4" s="18" t="s">
        <v>50</v>
      </c>
      <c r="I4" s="2">
        <v>500</v>
      </c>
      <c r="J4" s="2">
        <f>I4*0.1</f>
        <v>50</v>
      </c>
      <c r="K4" s="2">
        <f>I4*2*0.1</f>
        <v>100</v>
      </c>
      <c r="L4" s="2">
        <f>I4*3*0.1</f>
        <v>150</v>
      </c>
      <c r="M4" s="2">
        <f>I4*4*0.1</f>
        <v>200</v>
      </c>
      <c r="N4" s="2">
        <f>I4*5*0.1</f>
        <v>250</v>
      </c>
      <c r="O4" s="2">
        <v>-1</v>
      </c>
      <c r="P4" s="35">
        <v>1</v>
      </c>
      <c r="Q4" s="36">
        <v>21</v>
      </c>
      <c r="R4" s="36">
        <v>20</v>
      </c>
      <c r="S4" s="36" t="s">
        <v>125</v>
      </c>
      <c r="T4" s="43" t="s">
        <v>126</v>
      </c>
      <c r="U4" s="43" t="s">
        <v>127</v>
      </c>
      <c r="V4" s="41" t="s">
        <v>179</v>
      </c>
      <c r="W4" s="41" t="s">
        <v>180</v>
      </c>
      <c r="X4" s="41"/>
      <c r="Y4" s="41"/>
      <c r="Z4" s="41"/>
      <c r="AA4" s="41"/>
      <c r="AB4" s="36"/>
    </row>
    <row r="5" spans="1:28">
      <c r="A5" s="29" t="s">
        <v>128</v>
      </c>
      <c r="B5" s="27">
        <v>1</v>
      </c>
      <c r="C5" s="27">
        <v>0</v>
      </c>
      <c r="D5" s="27">
        <v>0</v>
      </c>
      <c r="E5" s="2"/>
      <c r="F5" s="2" t="s">
        <v>124</v>
      </c>
      <c r="G5" s="2">
        <v>3</v>
      </c>
      <c r="H5" s="18" t="s">
        <v>49</v>
      </c>
      <c r="I5" s="2">
        <v>900</v>
      </c>
      <c r="J5" s="2">
        <f t="shared" ref="J5:J46" si="0">I5*0.1</f>
        <v>90</v>
      </c>
      <c r="K5" s="2">
        <f t="shared" ref="K5:K46" si="1">I5*2*0.1</f>
        <v>180</v>
      </c>
      <c r="L5" s="2">
        <f t="shared" ref="L5:L46" si="2">I5*3*0.1</f>
        <v>270</v>
      </c>
      <c r="M5" s="2">
        <f t="shared" ref="M5:M46" si="3">I5*4*0.1</f>
        <v>360</v>
      </c>
      <c r="N5" s="2">
        <f t="shared" ref="N5:N46" si="4">I5*5*0.1</f>
        <v>450</v>
      </c>
      <c r="O5" s="2">
        <v>-1</v>
      </c>
      <c r="P5" s="35">
        <v>1</v>
      </c>
      <c r="Q5" s="36">
        <v>21</v>
      </c>
      <c r="R5" s="36">
        <v>19</v>
      </c>
      <c r="S5" s="36" t="s">
        <v>129</v>
      </c>
      <c r="T5" s="44" t="s">
        <v>130</v>
      </c>
      <c r="U5" s="44" t="s">
        <v>131</v>
      </c>
      <c r="V5" s="41" t="s">
        <v>181</v>
      </c>
      <c r="W5" s="41" t="s">
        <v>182</v>
      </c>
      <c r="X5" s="41" t="s">
        <v>181</v>
      </c>
      <c r="Y5" s="41" t="s">
        <v>182</v>
      </c>
      <c r="Z5" s="41" t="s">
        <v>181</v>
      </c>
      <c r="AA5" s="41" t="s">
        <v>182</v>
      </c>
      <c r="AB5" s="36"/>
    </row>
    <row r="6" spans="1:28">
      <c r="A6" s="27"/>
      <c r="B6" s="27"/>
      <c r="C6" s="27"/>
      <c r="D6" s="27"/>
      <c r="E6" s="2"/>
      <c r="F6" s="2" t="s">
        <v>124</v>
      </c>
      <c r="G6" s="2">
        <v>4</v>
      </c>
      <c r="H6" s="18" t="s">
        <v>48</v>
      </c>
      <c r="I6" s="2">
        <v>1100</v>
      </c>
      <c r="J6" s="2">
        <f t="shared" si="0"/>
        <v>110</v>
      </c>
      <c r="K6" s="2">
        <f t="shared" si="1"/>
        <v>220</v>
      </c>
      <c r="L6" s="2">
        <f t="shared" si="2"/>
        <v>330</v>
      </c>
      <c r="M6" s="2">
        <f t="shared" si="3"/>
        <v>440</v>
      </c>
      <c r="N6" s="2">
        <f t="shared" si="4"/>
        <v>550</v>
      </c>
      <c r="O6" s="2">
        <v>-1</v>
      </c>
      <c r="P6" s="35">
        <v>1</v>
      </c>
      <c r="Q6" s="36">
        <v>21</v>
      </c>
      <c r="R6" s="36">
        <v>18</v>
      </c>
      <c r="S6" s="36" t="s">
        <v>132</v>
      </c>
      <c r="T6" s="159" t="s">
        <v>133</v>
      </c>
      <c r="U6" s="159"/>
      <c r="V6" s="36"/>
      <c r="X6" s="36"/>
      <c r="Y6" s="36"/>
      <c r="Z6" s="36"/>
      <c r="AA6" s="36"/>
      <c r="AB6" s="36"/>
    </row>
    <row r="7" spans="1:28">
      <c r="A7" s="27"/>
      <c r="B7" s="30"/>
      <c r="C7" s="27"/>
      <c r="D7" s="27"/>
      <c r="E7" s="2" t="s">
        <v>119</v>
      </c>
      <c r="F7" s="2"/>
      <c r="G7" s="2">
        <v>5</v>
      </c>
      <c r="H7" s="2" t="s">
        <v>7</v>
      </c>
      <c r="I7" s="2"/>
      <c r="J7" s="2"/>
      <c r="K7" s="2"/>
      <c r="L7" s="2"/>
      <c r="M7" s="2"/>
      <c r="N7" s="2"/>
      <c r="O7" s="2">
        <v>-1</v>
      </c>
      <c r="Q7" s="36">
        <v>21</v>
      </c>
      <c r="R7" s="36">
        <v>17</v>
      </c>
      <c r="S7" s="36" t="s">
        <v>134</v>
      </c>
      <c r="T7" s="41" t="s">
        <v>135</v>
      </c>
      <c r="U7" s="41" t="s">
        <v>176</v>
      </c>
      <c r="V7" s="36"/>
      <c r="X7" s="36"/>
      <c r="Y7" s="36"/>
      <c r="Z7" s="36"/>
      <c r="AA7" s="36"/>
      <c r="AB7" s="36"/>
    </row>
    <row r="8" spans="1:28">
      <c r="A8" s="29"/>
      <c r="E8" s="2"/>
      <c r="F8" s="2" t="s">
        <v>124</v>
      </c>
      <c r="G8" s="2">
        <v>6</v>
      </c>
      <c r="H8" s="18" t="s">
        <v>33</v>
      </c>
      <c r="I8" s="2">
        <v>700</v>
      </c>
      <c r="J8" s="2">
        <f t="shared" si="0"/>
        <v>70</v>
      </c>
      <c r="K8" s="2">
        <f t="shared" si="1"/>
        <v>140</v>
      </c>
      <c r="L8" s="2">
        <f t="shared" si="2"/>
        <v>210</v>
      </c>
      <c r="M8" s="2">
        <f t="shared" si="3"/>
        <v>280</v>
      </c>
      <c r="N8" s="2">
        <f t="shared" si="4"/>
        <v>350</v>
      </c>
      <c r="O8" s="2">
        <v>-1</v>
      </c>
      <c r="P8" s="35">
        <v>1</v>
      </c>
      <c r="Q8" s="36">
        <v>21</v>
      </c>
      <c r="R8" s="36">
        <v>16</v>
      </c>
      <c r="S8" s="36" t="s">
        <v>136</v>
      </c>
      <c r="T8" s="41" t="s">
        <v>137</v>
      </c>
      <c r="U8" s="41" t="s">
        <v>179</v>
      </c>
      <c r="V8" s="36"/>
      <c r="X8" s="36"/>
      <c r="Y8" s="36"/>
      <c r="Z8" s="36"/>
      <c r="AA8" s="36"/>
      <c r="AB8" s="36"/>
    </row>
    <row r="9" spans="1:28">
      <c r="E9" s="2"/>
      <c r="F9" s="2" t="s">
        <v>138</v>
      </c>
      <c r="G9" s="2">
        <v>7</v>
      </c>
      <c r="H9" s="19" t="s">
        <v>46</v>
      </c>
      <c r="I9" s="2">
        <v>1600</v>
      </c>
      <c r="J9" s="2">
        <f t="shared" si="0"/>
        <v>160</v>
      </c>
      <c r="K9" s="2">
        <f t="shared" si="1"/>
        <v>320</v>
      </c>
      <c r="L9" s="2">
        <f t="shared" si="2"/>
        <v>480</v>
      </c>
      <c r="M9" s="2">
        <f t="shared" si="3"/>
        <v>640</v>
      </c>
      <c r="N9" s="2">
        <f t="shared" si="4"/>
        <v>800</v>
      </c>
      <c r="O9" s="2">
        <v>-1</v>
      </c>
      <c r="P9" s="35">
        <v>2</v>
      </c>
      <c r="Q9" s="36">
        <v>21</v>
      </c>
      <c r="R9" s="36">
        <v>15</v>
      </c>
      <c r="S9" s="36" t="s">
        <v>139</v>
      </c>
      <c r="T9" s="41" t="s">
        <v>140</v>
      </c>
      <c r="U9" s="41" t="s">
        <v>177</v>
      </c>
      <c r="V9" s="36"/>
      <c r="X9" s="36"/>
      <c r="Y9" s="36"/>
      <c r="Z9" s="36"/>
      <c r="AA9" s="36"/>
      <c r="AB9" s="36"/>
    </row>
    <row r="10" spans="1:28">
      <c r="E10" s="2"/>
      <c r="F10" s="2" t="s">
        <v>138</v>
      </c>
      <c r="G10" s="2">
        <v>8</v>
      </c>
      <c r="H10" s="19" t="s">
        <v>45</v>
      </c>
      <c r="I10" s="2">
        <v>1800</v>
      </c>
      <c r="J10" s="2">
        <f t="shared" si="0"/>
        <v>180</v>
      </c>
      <c r="K10" s="2">
        <f t="shared" si="1"/>
        <v>360</v>
      </c>
      <c r="L10" s="2">
        <f t="shared" si="2"/>
        <v>540</v>
      </c>
      <c r="M10" s="2">
        <f t="shared" si="3"/>
        <v>720</v>
      </c>
      <c r="N10" s="2">
        <f t="shared" si="4"/>
        <v>900</v>
      </c>
      <c r="O10" s="2">
        <v>-1</v>
      </c>
      <c r="P10" s="35">
        <v>2</v>
      </c>
      <c r="Q10" s="36">
        <v>21</v>
      </c>
      <c r="R10" s="36">
        <v>14</v>
      </c>
      <c r="S10" s="36" t="s">
        <v>141</v>
      </c>
      <c r="T10" s="41" t="s">
        <v>142</v>
      </c>
      <c r="U10" s="41" t="s">
        <v>181</v>
      </c>
      <c r="V10" s="36"/>
      <c r="X10" s="36"/>
      <c r="Y10" s="36"/>
      <c r="Z10" s="36"/>
      <c r="AA10" s="36"/>
      <c r="AB10" s="36"/>
    </row>
    <row r="11" spans="1:28">
      <c r="E11" s="2" t="s">
        <v>119</v>
      </c>
      <c r="F11" s="2"/>
      <c r="G11" s="2">
        <v>9</v>
      </c>
      <c r="H11" s="2" t="s">
        <v>11</v>
      </c>
      <c r="I11" s="2"/>
      <c r="J11" s="2"/>
      <c r="K11" s="2"/>
      <c r="L11" s="2"/>
      <c r="M11" s="2"/>
      <c r="N11" s="2"/>
      <c r="O11" s="2">
        <v>-1</v>
      </c>
      <c r="Q11" s="36">
        <v>21</v>
      </c>
      <c r="R11" s="36">
        <v>13</v>
      </c>
      <c r="S11" s="36" t="s">
        <v>143</v>
      </c>
      <c r="U11" s="36"/>
      <c r="V11" s="36"/>
      <c r="X11" s="36"/>
      <c r="Y11" s="36"/>
      <c r="Z11" s="36"/>
      <c r="AA11" s="36"/>
      <c r="AB11" s="36"/>
    </row>
    <row r="12" spans="1:28">
      <c r="E12" s="2"/>
      <c r="F12" s="2" t="s">
        <v>138</v>
      </c>
      <c r="G12" s="2">
        <v>10</v>
      </c>
      <c r="H12" s="20" t="s">
        <v>44</v>
      </c>
      <c r="I12" s="2">
        <v>2000</v>
      </c>
      <c r="J12" s="2">
        <f t="shared" si="0"/>
        <v>200</v>
      </c>
      <c r="K12" s="2">
        <f t="shared" si="1"/>
        <v>400</v>
      </c>
      <c r="L12" s="2">
        <f t="shared" si="2"/>
        <v>600</v>
      </c>
      <c r="M12" s="2">
        <f t="shared" si="3"/>
        <v>800</v>
      </c>
      <c r="N12" s="2">
        <f t="shared" si="4"/>
        <v>1000</v>
      </c>
      <c r="O12" s="2">
        <v>-1</v>
      </c>
      <c r="P12" s="35">
        <v>2</v>
      </c>
      <c r="Q12" s="36">
        <v>21</v>
      </c>
      <c r="R12" s="36">
        <v>12</v>
      </c>
      <c r="S12" s="36" t="s">
        <v>144</v>
      </c>
      <c r="U12" s="36"/>
      <c r="V12" s="36"/>
      <c r="X12" s="36"/>
      <c r="Y12" s="36"/>
      <c r="Z12" s="36"/>
      <c r="AA12" s="36"/>
      <c r="AB12" s="36"/>
    </row>
    <row r="13" spans="1:28">
      <c r="E13" s="2"/>
      <c r="F13" s="2" t="s">
        <v>138</v>
      </c>
      <c r="G13" s="2">
        <v>11</v>
      </c>
      <c r="H13" s="19" t="s">
        <v>43</v>
      </c>
      <c r="I13" s="2">
        <v>1300</v>
      </c>
      <c r="J13" s="2">
        <f t="shared" si="0"/>
        <v>130</v>
      </c>
      <c r="K13" s="2">
        <f t="shared" si="1"/>
        <v>260</v>
      </c>
      <c r="L13" s="2">
        <f t="shared" si="2"/>
        <v>390</v>
      </c>
      <c r="M13" s="2">
        <f t="shared" si="3"/>
        <v>520</v>
      </c>
      <c r="N13" s="2">
        <f t="shared" si="4"/>
        <v>650</v>
      </c>
      <c r="O13" s="2">
        <v>-1</v>
      </c>
      <c r="P13" s="35">
        <v>2</v>
      </c>
      <c r="Q13" s="36">
        <v>21</v>
      </c>
      <c r="R13" s="36">
        <v>11</v>
      </c>
      <c r="S13" s="36" t="s">
        <v>145</v>
      </c>
      <c r="U13" s="36"/>
      <c r="V13" s="36"/>
      <c r="X13" s="36"/>
      <c r="Y13" s="36"/>
      <c r="Z13" s="36"/>
      <c r="AA13" s="36"/>
      <c r="AB13" s="36"/>
    </row>
    <row r="14" spans="1:28">
      <c r="E14" s="2" t="s">
        <v>119</v>
      </c>
      <c r="F14" s="2"/>
      <c r="G14" s="2">
        <v>12</v>
      </c>
      <c r="H14" s="2" t="s">
        <v>15</v>
      </c>
      <c r="I14" s="2"/>
      <c r="J14" s="2"/>
      <c r="K14" s="2"/>
      <c r="L14" s="2"/>
      <c r="M14" s="2"/>
      <c r="N14" s="2"/>
      <c r="O14" s="2">
        <v>-1</v>
      </c>
      <c r="Q14" s="36">
        <v>21</v>
      </c>
      <c r="R14" s="36">
        <v>10</v>
      </c>
      <c r="S14" s="36" t="s">
        <v>146</v>
      </c>
      <c r="U14" s="36"/>
      <c r="V14" s="36"/>
      <c r="W14" s="36"/>
      <c r="X14" s="36"/>
      <c r="Y14" s="36"/>
      <c r="Z14" s="36"/>
      <c r="AA14" s="36"/>
    </row>
    <row r="15" spans="1:28">
      <c r="E15" s="2"/>
      <c r="F15" s="2" t="s">
        <v>147</v>
      </c>
      <c r="G15" s="2">
        <v>13</v>
      </c>
      <c r="H15" s="21" t="s">
        <v>40</v>
      </c>
      <c r="I15" s="2">
        <v>1000</v>
      </c>
      <c r="J15" s="2">
        <f t="shared" si="0"/>
        <v>100</v>
      </c>
      <c r="K15" s="2">
        <f t="shared" si="1"/>
        <v>200</v>
      </c>
      <c r="L15" s="2">
        <f t="shared" si="2"/>
        <v>300</v>
      </c>
      <c r="M15" s="2">
        <f t="shared" si="3"/>
        <v>400</v>
      </c>
      <c r="N15" s="2">
        <f t="shared" si="4"/>
        <v>500</v>
      </c>
      <c r="O15" s="2">
        <v>-1</v>
      </c>
      <c r="P15" s="35">
        <v>3</v>
      </c>
      <c r="Q15" s="36">
        <v>20</v>
      </c>
      <c r="R15" s="36">
        <v>10</v>
      </c>
      <c r="S15" s="36" t="s">
        <v>146</v>
      </c>
      <c r="U15" s="36"/>
      <c r="V15" s="36"/>
      <c r="W15" s="36"/>
      <c r="X15" s="36"/>
      <c r="Y15" s="36"/>
      <c r="Z15" s="36"/>
      <c r="AA15" s="36"/>
    </row>
    <row r="16" spans="1:28">
      <c r="E16" s="2"/>
      <c r="F16" s="2" t="s">
        <v>147</v>
      </c>
      <c r="G16" s="2">
        <v>14</v>
      </c>
      <c r="H16" s="21" t="s">
        <v>37</v>
      </c>
      <c r="I16" s="2">
        <v>700</v>
      </c>
      <c r="J16" s="2">
        <f t="shared" si="0"/>
        <v>70</v>
      </c>
      <c r="K16" s="2">
        <f t="shared" si="1"/>
        <v>140</v>
      </c>
      <c r="L16" s="2">
        <f t="shared" si="2"/>
        <v>210</v>
      </c>
      <c r="M16" s="2">
        <f t="shared" si="3"/>
        <v>280</v>
      </c>
      <c r="N16" s="2">
        <f t="shared" si="4"/>
        <v>350</v>
      </c>
      <c r="O16" s="2">
        <v>-1</v>
      </c>
      <c r="P16" s="35">
        <v>3</v>
      </c>
      <c r="Q16" s="36">
        <v>19</v>
      </c>
      <c r="R16" s="36">
        <v>10</v>
      </c>
      <c r="S16" s="36" t="s">
        <v>146</v>
      </c>
      <c r="U16" s="36"/>
      <c r="V16" s="36"/>
      <c r="W16" s="36"/>
      <c r="X16" s="36"/>
      <c r="Y16" s="36"/>
      <c r="Z16" s="36"/>
      <c r="AA16" s="36"/>
    </row>
    <row r="17" spans="5:28">
      <c r="E17" s="2"/>
      <c r="F17" s="2" t="s">
        <v>147</v>
      </c>
      <c r="G17" s="2">
        <v>15</v>
      </c>
      <c r="H17" s="21" t="s">
        <v>36</v>
      </c>
      <c r="I17" s="2">
        <v>1300</v>
      </c>
      <c r="J17" s="2">
        <f t="shared" si="0"/>
        <v>130</v>
      </c>
      <c r="K17" s="2">
        <f t="shared" si="1"/>
        <v>260</v>
      </c>
      <c r="L17" s="2">
        <f t="shared" si="2"/>
        <v>390</v>
      </c>
      <c r="M17" s="2">
        <f t="shared" si="3"/>
        <v>520</v>
      </c>
      <c r="N17" s="2">
        <f t="shared" si="4"/>
        <v>650</v>
      </c>
      <c r="O17" s="2">
        <v>-1</v>
      </c>
      <c r="P17" s="35">
        <v>3</v>
      </c>
      <c r="Q17" s="36">
        <v>18</v>
      </c>
      <c r="R17" s="36">
        <v>10</v>
      </c>
      <c r="S17" s="36" t="s">
        <v>146</v>
      </c>
      <c r="U17" s="36"/>
      <c r="V17" s="36"/>
      <c r="W17" s="36"/>
      <c r="X17" s="36"/>
      <c r="Y17" s="36"/>
      <c r="Z17" s="36"/>
      <c r="AA17" s="36"/>
    </row>
    <row r="18" spans="5:28">
      <c r="E18" s="2" t="s">
        <v>119</v>
      </c>
      <c r="F18" s="2"/>
      <c r="G18" s="2">
        <v>16</v>
      </c>
      <c r="H18" s="2" t="s">
        <v>7</v>
      </c>
      <c r="I18" s="2"/>
      <c r="J18" s="2"/>
      <c r="K18" s="2"/>
      <c r="L18" s="2"/>
      <c r="M18" s="2"/>
      <c r="N18" s="2"/>
      <c r="O18" s="2">
        <v>-1</v>
      </c>
      <c r="Q18" s="36">
        <v>17</v>
      </c>
      <c r="R18" s="36">
        <v>10</v>
      </c>
      <c r="S18" s="36" t="s">
        <v>146</v>
      </c>
      <c r="U18" s="36"/>
      <c r="V18" s="36"/>
      <c r="W18" s="36"/>
      <c r="X18" s="36"/>
      <c r="Y18" s="36"/>
      <c r="Z18" s="36"/>
      <c r="AA18" s="36"/>
    </row>
    <row r="19" spans="5:28">
      <c r="E19" s="2"/>
      <c r="F19" s="2" t="s">
        <v>147</v>
      </c>
      <c r="G19" s="2">
        <v>17</v>
      </c>
      <c r="H19" s="21" t="s">
        <v>31</v>
      </c>
      <c r="I19" s="2">
        <v>600</v>
      </c>
      <c r="J19" s="2">
        <f t="shared" si="0"/>
        <v>60</v>
      </c>
      <c r="K19" s="2">
        <f t="shared" si="1"/>
        <v>120</v>
      </c>
      <c r="L19" s="2">
        <f t="shared" si="2"/>
        <v>180</v>
      </c>
      <c r="M19" s="2">
        <f t="shared" si="3"/>
        <v>240</v>
      </c>
      <c r="N19" s="2">
        <f t="shared" si="4"/>
        <v>300</v>
      </c>
      <c r="O19" s="2">
        <v>-1</v>
      </c>
      <c r="P19" s="35">
        <v>3</v>
      </c>
      <c r="Q19" s="36">
        <v>16</v>
      </c>
      <c r="R19" s="36">
        <v>10</v>
      </c>
      <c r="S19" s="36" t="s">
        <v>146</v>
      </c>
      <c r="U19" s="36"/>
      <c r="V19" s="36"/>
      <c r="W19" s="36"/>
      <c r="X19" s="36"/>
      <c r="Y19" s="36"/>
      <c r="Z19" s="36"/>
      <c r="AA19" s="36"/>
    </row>
    <row r="20" spans="5:28">
      <c r="E20" s="2"/>
      <c r="F20" s="2" t="s">
        <v>148</v>
      </c>
      <c r="G20" s="2">
        <v>18</v>
      </c>
      <c r="H20" s="22" t="s">
        <v>27</v>
      </c>
      <c r="I20" s="2">
        <v>1000</v>
      </c>
      <c r="J20" s="2">
        <f t="shared" si="0"/>
        <v>100</v>
      </c>
      <c r="K20" s="2">
        <f t="shared" si="1"/>
        <v>200</v>
      </c>
      <c r="L20" s="2">
        <f t="shared" si="2"/>
        <v>300</v>
      </c>
      <c r="M20" s="2">
        <f t="shared" si="3"/>
        <v>400</v>
      </c>
      <c r="N20" s="2">
        <f t="shared" si="4"/>
        <v>500</v>
      </c>
      <c r="O20" s="2">
        <v>-1</v>
      </c>
      <c r="P20" s="35">
        <v>4</v>
      </c>
      <c r="Q20" s="36">
        <v>15</v>
      </c>
      <c r="R20" s="36">
        <v>10</v>
      </c>
      <c r="S20" s="36" t="s">
        <v>146</v>
      </c>
      <c r="U20" s="36"/>
      <c r="V20" s="36"/>
      <c r="W20" s="36"/>
      <c r="X20" s="36"/>
      <c r="Y20" s="36"/>
      <c r="Z20" s="36"/>
      <c r="AA20" s="36"/>
    </row>
    <row r="21" spans="5:28">
      <c r="E21" s="2"/>
      <c r="F21" s="2" t="s">
        <v>148</v>
      </c>
      <c r="G21" s="2">
        <v>19</v>
      </c>
      <c r="H21" s="22" t="s">
        <v>26</v>
      </c>
      <c r="I21" s="2">
        <v>1800</v>
      </c>
      <c r="J21" s="2">
        <f t="shared" si="0"/>
        <v>180</v>
      </c>
      <c r="K21" s="2">
        <f t="shared" si="1"/>
        <v>360</v>
      </c>
      <c r="L21" s="2">
        <f t="shared" si="2"/>
        <v>540</v>
      </c>
      <c r="M21" s="2">
        <f t="shared" si="3"/>
        <v>720</v>
      </c>
      <c r="N21" s="2">
        <f t="shared" si="4"/>
        <v>900</v>
      </c>
      <c r="O21" s="2">
        <v>-1</v>
      </c>
      <c r="P21" s="35">
        <v>4</v>
      </c>
      <c r="Q21" s="36">
        <v>14</v>
      </c>
      <c r="R21" s="36">
        <v>10</v>
      </c>
      <c r="S21" s="36" t="s">
        <v>146</v>
      </c>
      <c r="U21" s="36"/>
      <c r="V21" s="36"/>
      <c r="W21" s="36"/>
      <c r="X21" s="36"/>
      <c r="Y21" s="36"/>
      <c r="Z21" s="36"/>
      <c r="AA21" s="36"/>
    </row>
    <row r="22" spans="5:28">
      <c r="E22" s="2" t="s">
        <v>119</v>
      </c>
      <c r="F22" s="2"/>
      <c r="G22" s="2">
        <v>20</v>
      </c>
      <c r="H22" s="2" t="s">
        <v>11</v>
      </c>
      <c r="I22" s="2"/>
      <c r="J22" s="2"/>
      <c r="K22" s="2"/>
      <c r="L22" s="2"/>
      <c r="M22" s="2"/>
      <c r="N22" s="2"/>
      <c r="O22" s="2">
        <v>-1</v>
      </c>
      <c r="Q22" s="36">
        <v>13</v>
      </c>
      <c r="R22" s="36">
        <v>10</v>
      </c>
      <c r="S22" s="36" t="s">
        <v>146</v>
      </c>
      <c r="U22" s="36"/>
      <c r="V22" s="36"/>
      <c r="W22" s="36"/>
      <c r="X22" s="36"/>
      <c r="Y22" s="36"/>
      <c r="Z22" s="36"/>
      <c r="AA22" s="36"/>
    </row>
    <row r="23" spans="5:28">
      <c r="E23" s="2"/>
      <c r="F23" s="2" t="s">
        <v>148</v>
      </c>
      <c r="G23" s="2">
        <v>21</v>
      </c>
      <c r="H23" s="22" t="s">
        <v>22</v>
      </c>
      <c r="I23" s="2">
        <v>2000</v>
      </c>
      <c r="J23" s="2">
        <f t="shared" si="0"/>
        <v>200</v>
      </c>
      <c r="K23" s="2">
        <f t="shared" si="1"/>
        <v>400</v>
      </c>
      <c r="L23" s="2">
        <f t="shared" si="2"/>
        <v>600</v>
      </c>
      <c r="M23" s="2">
        <f t="shared" si="3"/>
        <v>800</v>
      </c>
      <c r="N23" s="2">
        <f t="shared" si="4"/>
        <v>1000</v>
      </c>
      <c r="O23" s="2">
        <v>-1</v>
      </c>
      <c r="P23" s="35">
        <v>4</v>
      </c>
      <c r="Q23" s="36">
        <v>12</v>
      </c>
      <c r="R23" s="36">
        <v>10</v>
      </c>
      <c r="S23" s="36" t="s">
        <v>146</v>
      </c>
      <c r="U23" s="36"/>
      <c r="V23" s="36"/>
      <c r="W23" s="36"/>
      <c r="X23" s="36"/>
      <c r="Y23" s="36"/>
      <c r="Z23" s="36"/>
      <c r="AA23" s="36"/>
    </row>
    <row r="24" spans="5:28">
      <c r="E24" s="2"/>
      <c r="F24" s="2" t="s">
        <v>148</v>
      </c>
      <c r="G24" s="2">
        <v>22</v>
      </c>
      <c r="H24" s="22" t="s">
        <v>16</v>
      </c>
      <c r="I24" s="2">
        <v>1000</v>
      </c>
      <c r="J24" s="2">
        <f t="shared" si="0"/>
        <v>100</v>
      </c>
      <c r="K24" s="2">
        <f t="shared" si="1"/>
        <v>200</v>
      </c>
      <c r="L24" s="2">
        <f t="shared" si="2"/>
        <v>300</v>
      </c>
      <c r="M24" s="2">
        <f t="shared" si="3"/>
        <v>400</v>
      </c>
      <c r="N24" s="2">
        <f t="shared" si="4"/>
        <v>500</v>
      </c>
      <c r="O24" s="2">
        <v>-1</v>
      </c>
      <c r="P24" s="35">
        <v>4</v>
      </c>
      <c r="Q24" s="36">
        <v>11</v>
      </c>
      <c r="R24" s="36">
        <v>10</v>
      </c>
      <c r="S24" s="36" t="s">
        <v>146</v>
      </c>
      <c r="U24" s="36"/>
      <c r="V24" s="36"/>
      <c r="W24" s="36"/>
      <c r="X24" s="36"/>
      <c r="Y24" s="36"/>
      <c r="Z24" s="36"/>
      <c r="AA24" s="36"/>
    </row>
    <row r="25" spans="5:28">
      <c r="E25" s="2" t="s">
        <v>119</v>
      </c>
      <c r="F25" s="2"/>
      <c r="G25" s="2">
        <v>23</v>
      </c>
      <c r="H25" s="2" t="s">
        <v>4</v>
      </c>
      <c r="I25" s="2"/>
      <c r="J25" s="2">
        <f t="shared" si="0"/>
        <v>0</v>
      </c>
      <c r="K25" s="2">
        <f t="shared" si="1"/>
        <v>0</v>
      </c>
      <c r="L25" s="2">
        <f t="shared" si="2"/>
        <v>0</v>
      </c>
      <c r="M25" s="2">
        <f t="shared" si="3"/>
        <v>0</v>
      </c>
      <c r="N25" s="2">
        <f t="shared" si="4"/>
        <v>0</v>
      </c>
      <c r="O25" s="2">
        <v>-1</v>
      </c>
      <c r="Q25" s="36">
        <v>10</v>
      </c>
      <c r="R25" s="36">
        <v>10</v>
      </c>
      <c r="S25" s="36" t="s">
        <v>146</v>
      </c>
      <c r="U25" s="36"/>
      <c r="W25" s="36"/>
      <c r="X25" s="36"/>
      <c r="Y25" s="36"/>
      <c r="Z25" s="36"/>
      <c r="AA25" s="36"/>
    </row>
    <row r="26" spans="5:28">
      <c r="E26" s="2"/>
      <c r="F26" s="2" t="s">
        <v>149</v>
      </c>
      <c r="G26" s="2">
        <v>24</v>
      </c>
      <c r="H26" s="23" t="s">
        <v>5</v>
      </c>
      <c r="I26" s="2">
        <v>1200</v>
      </c>
      <c r="J26" s="2">
        <f t="shared" si="0"/>
        <v>120</v>
      </c>
      <c r="K26" s="2">
        <f t="shared" si="1"/>
        <v>240</v>
      </c>
      <c r="L26" s="2">
        <f t="shared" si="2"/>
        <v>360</v>
      </c>
      <c r="M26" s="2">
        <f t="shared" si="3"/>
        <v>480</v>
      </c>
      <c r="N26" s="2">
        <f t="shared" si="4"/>
        <v>600</v>
      </c>
      <c r="O26" s="2">
        <v>-1</v>
      </c>
      <c r="P26" s="35">
        <v>5</v>
      </c>
      <c r="Q26" s="36">
        <v>10</v>
      </c>
      <c r="R26" s="36">
        <v>11</v>
      </c>
      <c r="S26" s="36" t="s">
        <v>145</v>
      </c>
      <c r="U26" s="36"/>
      <c r="X26" s="36"/>
      <c r="Y26" s="36"/>
      <c r="Z26" s="36"/>
      <c r="AA26" s="36"/>
      <c r="AB26" s="36"/>
    </row>
    <row r="27" spans="5:28">
      <c r="E27" s="2"/>
      <c r="F27" s="2" t="s">
        <v>149</v>
      </c>
      <c r="G27" s="2">
        <v>25</v>
      </c>
      <c r="H27" s="23" t="s">
        <v>6</v>
      </c>
      <c r="I27" s="2">
        <v>900</v>
      </c>
      <c r="J27" s="2">
        <f t="shared" si="0"/>
        <v>90</v>
      </c>
      <c r="K27" s="2">
        <f t="shared" si="1"/>
        <v>180</v>
      </c>
      <c r="L27" s="2">
        <f t="shared" si="2"/>
        <v>270</v>
      </c>
      <c r="M27" s="2">
        <f t="shared" si="3"/>
        <v>360</v>
      </c>
      <c r="N27" s="2">
        <f t="shared" si="4"/>
        <v>450</v>
      </c>
      <c r="O27" s="2">
        <v>-1</v>
      </c>
      <c r="P27" s="35">
        <v>5</v>
      </c>
      <c r="Q27" s="36">
        <v>10</v>
      </c>
      <c r="R27" s="36">
        <v>12</v>
      </c>
      <c r="S27" s="36" t="s">
        <v>144</v>
      </c>
      <c r="U27" s="36"/>
      <c r="X27" s="36"/>
      <c r="Y27" s="36"/>
      <c r="Z27" s="36"/>
      <c r="AA27" s="36"/>
      <c r="AB27" s="36"/>
    </row>
    <row r="28" spans="5:28">
      <c r="E28" s="2" t="s">
        <v>119</v>
      </c>
      <c r="F28" s="2"/>
      <c r="G28" s="2">
        <v>26</v>
      </c>
      <c r="H28" s="2" t="s">
        <v>7</v>
      </c>
      <c r="I28" s="2"/>
      <c r="J28" s="2"/>
      <c r="K28" s="2"/>
      <c r="L28" s="2"/>
      <c r="M28" s="2"/>
      <c r="N28" s="2"/>
      <c r="O28" s="2">
        <v>-1</v>
      </c>
      <c r="Q28" s="36">
        <v>10</v>
      </c>
      <c r="R28" s="36">
        <v>13</v>
      </c>
      <c r="S28" s="36" t="s">
        <v>143</v>
      </c>
      <c r="U28" s="36"/>
      <c r="X28" s="36"/>
      <c r="Y28" s="36"/>
      <c r="Z28" s="36"/>
      <c r="AA28" s="36"/>
      <c r="AB28" s="36"/>
    </row>
    <row r="29" spans="5:28">
      <c r="E29" s="2"/>
      <c r="F29" s="2" t="s">
        <v>149</v>
      </c>
      <c r="G29" s="2">
        <v>27</v>
      </c>
      <c r="H29" s="23" t="s">
        <v>8</v>
      </c>
      <c r="I29" s="2">
        <v>700</v>
      </c>
      <c r="J29" s="2">
        <f t="shared" si="0"/>
        <v>70</v>
      </c>
      <c r="K29" s="2">
        <f t="shared" si="1"/>
        <v>140</v>
      </c>
      <c r="L29" s="2">
        <f t="shared" si="2"/>
        <v>210</v>
      </c>
      <c r="M29" s="2">
        <f t="shared" si="3"/>
        <v>280</v>
      </c>
      <c r="N29" s="2">
        <f t="shared" si="4"/>
        <v>350</v>
      </c>
      <c r="O29" s="2">
        <v>-1</v>
      </c>
      <c r="P29" s="35">
        <v>5</v>
      </c>
      <c r="Q29" s="36">
        <v>10</v>
      </c>
      <c r="R29" s="36">
        <v>14</v>
      </c>
      <c r="S29" s="36" t="s">
        <v>141</v>
      </c>
      <c r="U29" s="36"/>
      <c r="X29" s="36"/>
      <c r="Y29" s="36"/>
      <c r="Z29" s="36"/>
      <c r="AA29" s="36"/>
      <c r="AB29" s="36"/>
    </row>
    <row r="30" spans="5:28">
      <c r="E30" s="2"/>
      <c r="F30" s="2" t="s">
        <v>149</v>
      </c>
      <c r="G30" s="2">
        <v>28</v>
      </c>
      <c r="H30" s="23" t="s">
        <v>9</v>
      </c>
      <c r="I30" s="2">
        <v>1700</v>
      </c>
      <c r="J30" s="2">
        <f t="shared" si="0"/>
        <v>170</v>
      </c>
      <c r="K30" s="2">
        <f t="shared" si="1"/>
        <v>340</v>
      </c>
      <c r="L30" s="2">
        <f t="shared" si="2"/>
        <v>510</v>
      </c>
      <c r="M30" s="2">
        <f t="shared" si="3"/>
        <v>680</v>
      </c>
      <c r="N30" s="2">
        <f t="shared" si="4"/>
        <v>850</v>
      </c>
      <c r="O30" s="2">
        <v>-1</v>
      </c>
      <c r="P30" s="35">
        <v>5</v>
      </c>
      <c r="Q30" s="36">
        <v>10</v>
      </c>
      <c r="R30" s="36">
        <v>15</v>
      </c>
      <c r="S30" s="36" t="s">
        <v>139</v>
      </c>
      <c r="U30" s="36"/>
      <c r="X30" s="36"/>
      <c r="Y30" s="36"/>
      <c r="Z30" s="36"/>
      <c r="AA30" s="36"/>
      <c r="AB30" s="36"/>
    </row>
    <row r="31" spans="5:28">
      <c r="E31" s="2"/>
      <c r="F31" s="2" t="s">
        <v>150</v>
      </c>
      <c r="G31" s="2">
        <v>29</v>
      </c>
      <c r="H31" s="24" t="s">
        <v>10</v>
      </c>
      <c r="I31" s="2">
        <v>1400</v>
      </c>
      <c r="J31" s="2">
        <f t="shared" si="0"/>
        <v>140</v>
      </c>
      <c r="K31" s="2">
        <f t="shared" si="1"/>
        <v>280</v>
      </c>
      <c r="L31" s="2">
        <f t="shared" si="2"/>
        <v>420</v>
      </c>
      <c r="M31" s="2">
        <f t="shared" si="3"/>
        <v>560</v>
      </c>
      <c r="N31" s="2">
        <f t="shared" si="4"/>
        <v>700</v>
      </c>
      <c r="O31" s="2">
        <v>-1</v>
      </c>
      <c r="P31" s="35">
        <v>6</v>
      </c>
      <c r="Q31" s="36">
        <v>10</v>
      </c>
      <c r="R31" s="36">
        <v>16</v>
      </c>
      <c r="S31" s="36" t="s">
        <v>136</v>
      </c>
      <c r="U31" s="36"/>
      <c r="X31" s="36"/>
      <c r="Y31" s="36"/>
      <c r="Z31" s="36"/>
      <c r="AA31" s="36"/>
      <c r="AB31" s="36"/>
    </row>
    <row r="32" spans="5:28">
      <c r="E32" s="2" t="s">
        <v>119</v>
      </c>
      <c r="F32" s="2"/>
      <c r="G32" s="2">
        <v>30</v>
      </c>
      <c r="H32" s="2" t="s">
        <v>11</v>
      </c>
      <c r="I32" s="2"/>
      <c r="J32" s="2"/>
      <c r="K32" s="2"/>
      <c r="L32" s="2"/>
      <c r="M32" s="2"/>
      <c r="N32" s="2"/>
      <c r="O32" s="2">
        <v>-1</v>
      </c>
      <c r="Q32" s="36">
        <v>10</v>
      </c>
      <c r="R32" s="36">
        <v>17</v>
      </c>
      <c r="S32" s="36" t="s">
        <v>134</v>
      </c>
      <c r="U32" s="36"/>
      <c r="X32" s="36"/>
      <c r="Y32" s="36"/>
      <c r="Z32" s="36"/>
      <c r="AA32" s="36"/>
      <c r="AB32" s="36"/>
    </row>
    <row r="33" spans="5:28">
      <c r="E33" s="2"/>
      <c r="F33" s="2" t="s">
        <v>150</v>
      </c>
      <c r="G33" s="2">
        <v>31</v>
      </c>
      <c r="H33" s="24" t="s">
        <v>12</v>
      </c>
      <c r="I33" s="2">
        <v>1200</v>
      </c>
      <c r="J33" s="2">
        <f t="shared" si="0"/>
        <v>120</v>
      </c>
      <c r="K33" s="2">
        <f t="shared" si="1"/>
        <v>240</v>
      </c>
      <c r="L33" s="2">
        <f t="shared" si="2"/>
        <v>360</v>
      </c>
      <c r="M33" s="2">
        <f t="shared" si="3"/>
        <v>480</v>
      </c>
      <c r="N33" s="2">
        <f t="shared" si="4"/>
        <v>600</v>
      </c>
      <c r="O33" s="2">
        <v>-1</v>
      </c>
      <c r="P33" s="35">
        <v>6</v>
      </c>
      <c r="Q33" s="36">
        <v>10</v>
      </c>
      <c r="R33" s="36">
        <v>18</v>
      </c>
      <c r="S33" s="36" t="s">
        <v>132</v>
      </c>
      <c r="U33" s="36"/>
      <c r="X33" s="36"/>
      <c r="Y33" s="36"/>
      <c r="Z33" s="36"/>
      <c r="AA33" s="36"/>
      <c r="AB33" s="36"/>
    </row>
    <row r="34" spans="5:28">
      <c r="E34" s="2"/>
      <c r="F34" s="2" t="s">
        <v>150</v>
      </c>
      <c r="G34" s="2">
        <v>32</v>
      </c>
      <c r="H34" s="24" t="s">
        <v>13</v>
      </c>
      <c r="I34" s="2">
        <v>1400</v>
      </c>
      <c r="J34" s="2">
        <f t="shared" si="0"/>
        <v>140</v>
      </c>
      <c r="K34" s="2">
        <f t="shared" si="1"/>
        <v>280</v>
      </c>
      <c r="L34" s="2">
        <f t="shared" si="2"/>
        <v>420</v>
      </c>
      <c r="M34" s="2">
        <f t="shared" si="3"/>
        <v>560</v>
      </c>
      <c r="N34" s="2">
        <f t="shared" si="4"/>
        <v>700</v>
      </c>
      <c r="O34" s="2">
        <v>-1</v>
      </c>
      <c r="P34" s="35">
        <v>6</v>
      </c>
      <c r="Q34" s="36">
        <v>10</v>
      </c>
      <c r="R34" s="36">
        <v>19</v>
      </c>
      <c r="S34" s="36" t="s">
        <v>129</v>
      </c>
      <c r="U34" s="36"/>
      <c r="X34" s="36"/>
      <c r="Y34" s="36"/>
      <c r="Z34" s="36"/>
      <c r="AA34" s="36"/>
      <c r="AB34" s="36"/>
    </row>
    <row r="35" spans="5:28">
      <c r="E35" s="2"/>
      <c r="F35" s="2" t="s">
        <v>150</v>
      </c>
      <c r="G35" s="2">
        <v>33</v>
      </c>
      <c r="H35" s="24" t="s">
        <v>14</v>
      </c>
      <c r="I35" s="2">
        <v>800</v>
      </c>
      <c r="J35" s="2">
        <f t="shared" si="0"/>
        <v>80</v>
      </c>
      <c r="K35" s="2">
        <f t="shared" si="1"/>
        <v>160</v>
      </c>
      <c r="L35" s="2">
        <f t="shared" si="2"/>
        <v>240</v>
      </c>
      <c r="M35" s="2">
        <f t="shared" si="3"/>
        <v>320</v>
      </c>
      <c r="N35" s="2">
        <f t="shared" si="4"/>
        <v>400</v>
      </c>
      <c r="O35" s="2">
        <v>-1</v>
      </c>
      <c r="P35" s="35">
        <v>6</v>
      </c>
      <c r="Q35" s="36">
        <v>10</v>
      </c>
      <c r="R35" s="36">
        <v>20</v>
      </c>
      <c r="S35" s="36" t="s">
        <v>125</v>
      </c>
      <c r="U35" s="36"/>
      <c r="X35" s="36"/>
      <c r="Y35" s="36"/>
      <c r="Z35" s="36"/>
      <c r="AA35" s="36"/>
      <c r="AB35" s="36"/>
    </row>
    <row r="36" spans="5:28">
      <c r="E36" s="2" t="s">
        <v>119</v>
      </c>
      <c r="F36" s="2"/>
      <c r="G36" s="2">
        <v>34</v>
      </c>
      <c r="H36" s="2" t="s">
        <v>15</v>
      </c>
      <c r="I36" s="2"/>
      <c r="J36" s="2"/>
      <c r="K36" s="2"/>
      <c r="L36" s="2"/>
      <c r="M36" s="2"/>
      <c r="N36" s="2"/>
      <c r="O36" s="2">
        <v>-1</v>
      </c>
      <c r="Q36" s="36">
        <v>10</v>
      </c>
      <c r="R36" s="36">
        <v>21</v>
      </c>
      <c r="S36" s="36" t="s">
        <v>120</v>
      </c>
      <c r="U36" s="36"/>
      <c r="X36" s="36"/>
      <c r="Y36" s="36"/>
      <c r="Z36" s="36"/>
      <c r="AA36" s="36"/>
      <c r="AB36" s="36"/>
    </row>
    <row r="37" spans="5:28">
      <c r="E37" s="2"/>
      <c r="F37" s="2" t="s">
        <v>151</v>
      </c>
      <c r="G37" s="2">
        <v>35</v>
      </c>
      <c r="H37" s="25" t="s">
        <v>17</v>
      </c>
      <c r="I37" s="2">
        <v>1500</v>
      </c>
      <c r="J37" s="2">
        <f t="shared" si="0"/>
        <v>150</v>
      </c>
      <c r="K37" s="2">
        <f t="shared" si="1"/>
        <v>300</v>
      </c>
      <c r="L37" s="2">
        <f t="shared" si="2"/>
        <v>450</v>
      </c>
      <c r="M37" s="2">
        <f t="shared" si="3"/>
        <v>600</v>
      </c>
      <c r="N37" s="2">
        <f t="shared" si="4"/>
        <v>750</v>
      </c>
      <c r="O37" s="2">
        <v>-1</v>
      </c>
      <c r="P37" s="35">
        <v>7</v>
      </c>
      <c r="Q37" s="36">
        <v>11</v>
      </c>
      <c r="R37" s="36">
        <v>21</v>
      </c>
      <c r="S37" s="36" t="s">
        <v>120</v>
      </c>
      <c r="U37" s="36"/>
      <c r="V37" s="36"/>
      <c r="X37" s="36"/>
      <c r="Y37" s="36"/>
      <c r="Z37" s="36"/>
      <c r="AA37" s="36"/>
      <c r="AB37" s="36"/>
    </row>
    <row r="38" spans="5:28">
      <c r="E38" s="2"/>
      <c r="F38" s="2" t="s">
        <v>151</v>
      </c>
      <c r="G38" s="2">
        <v>36</v>
      </c>
      <c r="H38" s="25" t="s">
        <v>23</v>
      </c>
      <c r="I38" s="2">
        <v>2000</v>
      </c>
      <c r="J38" s="2">
        <f t="shared" si="0"/>
        <v>200</v>
      </c>
      <c r="K38" s="2">
        <f t="shared" si="1"/>
        <v>400</v>
      </c>
      <c r="L38" s="2">
        <f t="shared" si="2"/>
        <v>600</v>
      </c>
      <c r="M38" s="2">
        <f t="shared" si="3"/>
        <v>800</v>
      </c>
      <c r="N38" s="2">
        <f t="shared" si="4"/>
        <v>1000</v>
      </c>
      <c r="O38" s="2">
        <v>-1</v>
      </c>
      <c r="P38" s="35">
        <v>7</v>
      </c>
      <c r="Q38" s="36">
        <v>12</v>
      </c>
      <c r="R38" s="36">
        <v>21</v>
      </c>
      <c r="S38" s="36" t="s">
        <v>120</v>
      </c>
      <c r="U38" s="36"/>
      <c r="V38" s="36"/>
      <c r="X38" s="36"/>
      <c r="Y38" s="36"/>
      <c r="Z38" s="36"/>
      <c r="AA38" s="36"/>
      <c r="AB38" s="36"/>
    </row>
    <row r="39" spans="5:28">
      <c r="E39" s="2"/>
      <c r="F39" s="2" t="s">
        <v>151</v>
      </c>
      <c r="G39" s="2">
        <v>37</v>
      </c>
      <c r="H39" s="25" t="s">
        <v>24</v>
      </c>
      <c r="I39" s="2">
        <v>1700</v>
      </c>
      <c r="J39" s="2">
        <f t="shared" si="0"/>
        <v>170</v>
      </c>
      <c r="K39" s="2">
        <f t="shared" si="1"/>
        <v>340</v>
      </c>
      <c r="L39" s="2">
        <f t="shared" si="2"/>
        <v>510</v>
      </c>
      <c r="M39" s="2">
        <f t="shared" si="3"/>
        <v>680</v>
      </c>
      <c r="N39" s="2">
        <f t="shared" si="4"/>
        <v>850</v>
      </c>
      <c r="O39" s="2">
        <v>-1</v>
      </c>
      <c r="P39" s="35">
        <v>7</v>
      </c>
      <c r="Q39" s="36">
        <v>13</v>
      </c>
      <c r="R39" s="36">
        <v>21</v>
      </c>
      <c r="S39" s="36" t="s">
        <v>120</v>
      </c>
      <c r="U39" s="36"/>
      <c r="V39" s="36"/>
      <c r="X39" s="36"/>
      <c r="Y39" s="36"/>
      <c r="Z39" s="36"/>
      <c r="AA39" s="36"/>
      <c r="AB39" s="36"/>
    </row>
    <row r="40" spans="5:28">
      <c r="E40" s="2" t="s">
        <v>119</v>
      </c>
      <c r="F40" s="2"/>
      <c r="G40" s="2">
        <v>38</v>
      </c>
      <c r="H40" s="2" t="s">
        <v>11</v>
      </c>
      <c r="I40" s="2"/>
      <c r="J40" s="2"/>
      <c r="K40" s="2"/>
      <c r="L40" s="2"/>
      <c r="M40" s="2"/>
      <c r="N40" s="2"/>
      <c r="O40" s="2">
        <v>-1</v>
      </c>
      <c r="Q40" s="36">
        <v>14</v>
      </c>
      <c r="R40" s="36">
        <v>21</v>
      </c>
      <c r="S40" s="36" t="s">
        <v>120</v>
      </c>
      <c r="U40" s="36"/>
      <c r="V40" s="36"/>
      <c r="X40" s="36"/>
      <c r="Y40" s="36"/>
      <c r="Z40" s="36"/>
      <c r="AA40" s="36"/>
      <c r="AB40" s="36"/>
    </row>
    <row r="41" spans="5:28">
      <c r="E41" s="2"/>
      <c r="F41" s="2" t="s">
        <v>151</v>
      </c>
      <c r="G41" s="2">
        <v>39</v>
      </c>
      <c r="H41" s="25" t="s">
        <v>29</v>
      </c>
      <c r="I41" s="2">
        <v>700</v>
      </c>
      <c r="J41" s="2">
        <f t="shared" si="0"/>
        <v>70</v>
      </c>
      <c r="K41" s="2">
        <f t="shared" si="1"/>
        <v>140</v>
      </c>
      <c r="L41" s="2">
        <f t="shared" si="2"/>
        <v>210</v>
      </c>
      <c r="M41" s="2">
        <f t="shared" si="3"/>
        <v>280</v>
      </c>
      <c r="N41" s="2">
        <f t="shared" si="4"/>
        <v>350</v>
      </c>
      <c r="O41" s="2">
        <v>-1</v>
      </c>
      <c r="P41" s="35">
        <v>7</v>
      </c>
      <c r="Q41" s="36">
        <v>15</v>
      </c>
      <c r="R41" s="36">
        <v>21</v>
      </c>
      <c r="S41" s="36" t="s">
        <v>120</v>
      </c>
      <c r="U41" s="36"/>
      <c r="V41" s="36"/>
      <c r="X41" s="36"/>
      <c r="Y41" s="36"/>
      <c r="Z41" s="36"/>
      <c r="AA41" s="36"/>
      <c r="AB41" s="36"/>
    </row>
    <row r="42" spans="5:28">
      <c r="E42" s="2"/>
      <c r="F42" s="2" t="s">
        <v>152</v>
      </c>
      <c r="G42" s="2">
        <v>40</v>
      </c>
      <c r="H42" s="26" t="s">
        <v>32</v>
      </c>
      <c r="I42" s="2">
        <v>800</v>
      </c>
      <c r="J42" s="2">
        <f t="shared" si="0"/>
        <v>80</v>
      </c>
      <c r="K42" s="2">
        <f t="shared" si="1"/>
        <v>160</v>
      </c>
      <c r="L42" s="2">
        <f t="shared" si="2"/>
        <v>240</v>
      </c>
      <c r="M42" s="2">
        <f t="shared" si="3"/>
        <v>320</v>
      </c>
      <c r="N42" s="2">
        <f t="shared" si="4"/>
        <v>400</v>
      </c>
      <c r="O42" s="2">
        <v>-1</v>
      </c>
      <c r="P42" s="35">
        <v>8</v>
      </c>
      <c r="Q42" s="36">
        <v>16</v>
      </c>
      <c r="R42" s="36">
        <v>21</v>
      </c>
      <c r="S42" s="36" t="s">
        <v>120</v>
      </c>
      <c r="U42" s="36"/>
      <c r="V42" s="36"/>
      <c r="X42" s="36"/>
      <c r="Y42" s="36"/>
      <c r="Z42" s="36"/>
      <c r="AA42" s="36"/>
      <c r="AB42" s="36"/>
    </row>
    <row r="43" spans="5:28">
      <c r="E43" s="2"/>
      <c r="F43" s="2" t="s">
        <v>152</v>
      </c>
      <c r="G43" s="2">
        <v>41</v>
      </c>
      <c r="H43" s="26" t="s">
        <v>34</v>
      </c>
      <c r="I43" s="2">
        <v>2000</v>
      </c>
      <c r="J43" s="2">
        <f t="shared" si="0"/>
        <v>200</v>
      </c>
      <c r="K43" s="2">
        <f t="shared" si="1"/>
        <v>400</v>
      </c>
      <c r="L43" s="2">
        <f t="shared" si="2"/>
        <v>600</v>
      </c>
      <c r="M43" s="2">
        <f t="shared" si="3"/>
        <v>800</v>
      </c>
      <c r="N43" s="2">
        <f t="shared" si="4"/>
        <v>1000</v>
      </c>
      <c r="O43" s="2">
        <v>-1</v>
      </c>
      <c r="P43" s="35">
        <v>8</v>
      </c>
      <c r="Q43" s="36">
        <v>17</v>
      </c>
      <c r="R43" s="36">
        <v>21</v>
      </c>
      <c r="S43" s="36" t="s">
        <v>120</v>
      </c>
      <c r="U43" s="36"/>
      <c r="V43" s="36"/>
      <c r="X43" s="36"/>
      <c r="Y43" s="36"/>
      <c r="Z43" s="36"/>
      <c r="AA43" s="36"/>
      <c r="AB43" s="36"/>
    </row>
    <row r="44" spans="5:28">
      <c r="E44" s="2" t="s">
        <v>119</v>
      </c>
      <c r="F44" s="2"/>
      <c r="G44" s="2">
        <v>42</v>
      </c>
      <c r="H44" s="2" t="s">
        <v>7</v>
      </c>
      <c r="I44" s="2"/>
      <c r="J44" s="2"/>
      <c r="K44" s="2"/>
      <c r="L44" s="2"/>
      <c r="M44" s="2"/>
      <c r="N44" s="2"/>
      <c r="O44" s="2">
        <v>-1</v>
      </c>
      <c r="Q44" s="36">
        <v>18</v>
      </c>
      <c r="R44" s="36">
        <v>21</v>
      </c>
      <c r="S44" s="36" t="s">
        <v>120</v>
      </c>
      <c r="U44" s="36"/>
      <c r="V44" s="36"/>
      <c r="X44" s="36"/>
      <c r="Y44" s="36"/>
      <c r="Z44" s="36"/>
      <c r="AA44" s="36"/>
      <c r="AB44" s="36"/>
    </row>
    <row r="45" spans="5:28">
      <c r="E45" s="2"/>
      <c r="F45" s="2" t="s">
        <v>152</v>
      </c>
      <c r="G45" s="2">
        <v>43</v>
      </c>
      <c r="H45" s="26" t="s">
        <v>38</v>
      </c>
      <c r="I45" s="2">
        <v>1200</v>
      </c>
      <c r="J45" s="2">
        <f t="shared" si="0"/>
        <v>120</v>
      </c>
      <c r="K45" s="2">
        <f t="shared" si="1"/>
        <v>240</v>
      </c>
      <c r="L45" s="2">
        <f t="shared" si="2"/>
        <v>360</v>
      </c>
      <c r="M45" s="2">
        <f t="shared" si="3"/>
        <v>480</v>
      </c>
      <c r="N45" s="2">
        <f t="shared" si="4"/>
        <v>600</v>
      </c>
      <c r="O45" s="2">
        <v>-1</v>
      </c>
      <c r="P45" s="35">
        <v>8</v>
      </c>
      <c r="Q45" s="36">
        <v>19</v>
      </c>
      <c r="R45" s="36">
        <v>21</v>
      </c>
      <c r="S45" s="36" t="s">
        <v>120</v>
      </c>
      <c r="U45" s="36"/>
      <c r="V45" s="36"/>
      <c r="X45" s="36"/>
      <c r="Y45" s="36"/>
      <c r="Z45" s="36"/>
      <c r="AA45" s="36"/>
      <c r="AB45" s="36"/>
    </row>
    <row r="46" spans="5:28">
      <c r="E46" s="2"/>
      <c r="F46" s="2" t="s">
        <v>152</v>
      </c>
      <c r="G46" s="2">
        <v>44</v>
      </c>
      <c r="H46" s="26" t="s">
        <v>41</v>
      </c>
      <c r="I46" s="2">
        <v>800</v>
      </c>
      <c r="J46" s="2">
        <f t="shared" si="0"/>
        <v>80</v>
      </c>
      <c r="K46" s="2">
        <f t="shared" si="1"/>
        <v>160</v>
      </c>
      <c r="L46" s="2">
        <f t="shared" si="2"/>
        <v>240</v>
      </c>
      <c r="M46" s="2">
        <f t="shared" si="3"/>
        <v>320</v>
      </c>
      <c r="N46" s="2">
        <f t="shared" si="4"/>
        <v>400</v>
      </c>
      <c r="O46" s="2">
        <v>-1</v>
      </c>
      <c r="P46" s="35">
        <v>8</v>
      </c>
      <c r="Q46" s="36">
        <v>20</v>
      </c>
      <c r="R46" s="36">
        <v>21</v>
      </c>
      <c r="S46" s="36" t="s">
        <v>120</v>
      </c>
      <c r="U46" s="36"/>
      <c r="V46" s="36"/>
      <c r="X46" s="36"/>
      <c r="Y46" s="36"/>
      <c r="Z46" s="36"/>
      <c r="AA46" s="36"/>
      <c r="AB46" s="36"/>
    </row>
    <row r="47" spans="5:28">
      <c r="O47" s="2"/>
    </row>
  </sheetData>
  <mergeCells count="3">
    <mergeCell ref="J1:N1"/>
    <mergeCell ref="T1:AA1"/>
    <mergeCell ref="T6:U6"/>
  </mergeCells>
  <phoneticPr fontId="1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9CBE6DFD6683B3448C6DEFFFE60093CA" ma:contentTypeVersion="2" ma:contentTypeDescription="建立新的文件。" ma:contentTypeScope="" ma:versionID="f1eb2aa6cc232e3e69ce36113aab7c7d">
  <xsd:schema xmlns:xsd="http://www.w3.org/2001/XMLSchema" xmlns:xs="http://www.w3.org/2001/XMLSchema" xmlns:p="http://schemas.microsoft.com/office/2006/metadata/properties" xmlns:ns3="d1692977-e246-4df4-9568-3d02167bd358" targetNamespace="http://schemas.microsoft.com/office/2006/metadata/properties" ma:root="true" ma:fieldsID="8bcd142f42e8e52cb5f4281d7d71a887" ns3:_="">
    <xsd:import namespace="d1692977-e246-4df4-9568-3d02167bd3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92977-e246-4df4-9568-3d02167bd3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B4ED4E-78BE-4151-83D8-CEB4010FFCE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A0232A-9706-410B-90C5-C3640C43C968}">
  <ds:schemaRefs>
    <ds:schemaRef ds:uri="http://purl.org/dc/elements/1.1/"/>
    <ds:schemaRef ds:uri="http://schemas.microsoft.com/office/2006/metadata/properties"/>
    <ds:schemaRef ds:uri="d1692977-e246-4df4-9568-3d02167bd358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870CCF2-0C9E-439D-BAA7-040E05D3E4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1692977-e246-4df4-9568-3d02167bd3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選擇角色顏色</vt:lpstr>
      <vt:lpstr>介面</vt:lpstr>
      <vt:lpstr>機會&amp;命運</vt:lpstr>
      <vt:lpstr>遊戲狀態log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ching</dc:creator>
  <cp:keywords/>
  <dc:description/>
  <cp:lastModifiedBy>圓媛 徐</cp:lastModifiedBy>
  <cp:revision/>
  <dcterms:created xsi:type="dcterms:W3CDTF">2022-05-04T06:05:04Z</dcterms:created>
  <dcterms:modified xsi:type="dcterms:W3CDTF">2022-08-11T07:31:51Z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0x0101009CBE6DFD6683B3448C6DEFFFE60093CA</vt:lpwstr>
  </property>
</Properties>
</file>